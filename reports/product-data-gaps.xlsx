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ducts" sheetId="2" state="visible" r:id="rId2"/>
  </sheets>
  <definedNames>
    <definedName name="_xlnm._FilterDatabase" localSheetId="1" hidden="1">'Products'!$A$1:$M$284</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color rgb="FFFFFFFF"/>
      <sz val="10"/>
    </font>
    <font>
      <name val="Arial"/>
      <sz val="10"/>
    </font>
    <font>
      <name val="Arial"/>
      <color rgb="FF6B6B70"/>
      <sz val="10"/>
    </font>
    <font>
      <name val="Arial"/>
      <b val="1"/>
      <sz val="16"/>
    </font>
    <font>
      <name val="Arial"/>
      <b val="1"/>
      <color rgb="FF111113"/>
      <sz val="11"/>
    </font>
    <font>
      <name val="Arial"/>
      <color rgb="FF111113"/>
      <sz val="10"/>
    </font>
    <font>
      <name val="Arial"/>
      <color rgb="FF6B6B70"/>
      <sz val="9"/>
    </font>
    <font>
      <name val="Arial"/>
      <b val="1"/>
      <color rgb="FFC73E37"/>
      <sz val="11"/>
    </font>
  </fonts>
  <fills count="5">
    <fill>
      <patternFill/>
    </fill>
    <fill>
      <patternFill patternType="gray125"/>
    </fill>
    <fill>
      <patternFill patternType="solid">
        <fgColor rgb="FF111113"/>
      </patternFill>
    </fill>
    <fill>
      <patternFill patternType="solid">
        <fgColor rgb="FFFDECEB"/>
      </patternFill>
    </fill>
    <fill>
      <patternFill patternType="solid">
        <fgColor rgb="FFF4F4F5"/>
      </patternFill>
    </fill>
  </fills>
  <borders count="2">
    <border>
      <left/>
      <right/>
      <top/>
      <bottom/>
      <diagonal/>
    </border>
    <border>
      <left style="thin">
        <color rgb="FFE5E5E7"/>
      </left>
      <right style="thin">
        <color rgb="FFE5E5E7"/>
      </right>
      <top style="thin">
        <color rgb="FFE5E5E7"/>
      </top>
      <bottom style="thin">
        <color rgb="FFE5E5E7"/>
      </bottom>
    </border>
  </borders>
  <cellStyleXfs count="1">
    <xf numFmtId="0" fontId="0" fillId="0" borderId="0"/>
  </cellStyleXfs>
  <cellXfs count="17">
    <xf numFmtId="0" fontId="0" fillId="0" borderId="0" pivotButton="0" quotePrefix="0" xfId="0"/>
    <xf numFmtId="0" fontId="4" fillId="0" borderId="0" pivotButton="0" quotePrefix="0" xfId="0"/>
    <xf numFmtId="0" fontId="3" fillId="0" borderId="0" pivotButton="0" quotePrefix="0" xfId="0"/>
    <xf numFmtId="0" fontId="5" fillId="0" borderId="0" pivotButton="0" quotePrefix="0" xfId="0"/>
    <xf numFmtId="0" fontId="6" fillId="0" borderId="0" pivotButton="0" quotePrefix="0" xfId="0"/>
    <xf numFmtId="0" fontId="2" fillId="4" borderId="1" applyAlignment="1" pivotButton="0" quotePrefix="0" xfId="0">
      <alignment horizontal="center"/>
    </xf>
    <xf numFmtId="0" fontId="7" fillId="0" borderId="0" applyAlignment="1" pivotButton="0" quotePrefix="0" xfId="0">
      <alignment vertical="top" wrapText="1"/>
    </xf>
    <xf numFmtId="0" fontId="2" fillId="0" borderId="0" applyAlignment="1" pivotButton="0" quotePrefix="0" xfId="0">
      <alignment vertical="top" wrapText="1"/>
    </xf>
    <xf numFmtId="0" fontId="8" fillId="0" borderId="0" pivotButton="0" quotePrefix="0" xfId="0"/>
    <xf numFmtId="0" fontId="1" fillId="2" borderId="0" applyAlignment="1" pivotButton="0" quotePrefix="0" xfId="0">
      <alignment vertical="center" wrapText="1"/>
    </xf>
    <xf numFmtId="0" fontId="2" fillId="0" borderId="1" pivotButton="0" quotePrefix="0" xfId="0"/>
    <xf numFmtId="0" fontId="2" fillId="0" borderId="1" applyAlignment="1" pivotButton="0" quotePrefix="0" xfId="0">
      <alignment horizontal="center"/>
    </xf>
    <xf numFmtId="164" fontId="2" fillId="0" borderId="1" pivotButton="0" quotePrefix="0" xfId="0"/>
    <xf numFmtId="164" fontId="2" fillId="3" borderId="1" pivotButton="0" quotePrefix="0" xfId="0"/>
    <xf numFmtId="0" fontId="3" fillId="0" borderId="1" pivotButton="0" quotePrefix="0" xfId="0"/>
    <xf numFmtId="0" fontId="3" fillId="0" borderId="1" applyAlignment="1" pivotButton="0" quotePrefix="0" xfId="0">
      <alignment horizontal="center"/>
    </xf>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52" customWidth="1" min="1" max="1"/>
    <col width="14" customWidth="1" min="2" max="2"/>
    <col width="62" customWidth="1" min="3" max="3"/>
  </cols>
  <sheetData>
    <row r="1">
      <c r="A1" s="1" t="inlineStr">
        <is>
          <t>MasterKraft — product data gaps</t>
        </is>
      </c>
    </row>
    <row r="2">
      <c r="A2" s="2" t="inlineStr">
        <is>
          <t>Missing features, weights and carton dimensions. Generated 25 August 2026 from the committed catalogue snapshot.</t>
        </is>
      </c>
    </row>
    <row r="4">
      <c r="A4" s="3" t="inlineStr">
        <is>
          <t>THE SET</t>
        </is>
      </c>
    </row>
    <row r="5">
      <c r="A5" s="4" t="inlineStr">
        <is>
          <t>Products in this workbook (listable)</t>
        </is>
      </c>
      <c r="B5" s="5">
        <f>COUNTA(Products!A2:A284)</f>
        <v/>
      </c>
      <c r="C5" s="6" t="inlineStr">
        <is>
          <t>Everything published in WooCommerce that is not hidden and not retired in Unleashed. 512 published products reduce to this.</t>
        </is>
      </c>
    </row>
    <row r="6">
      <c r="A6" s="4" t="inlineStr">
        <is>
          <t>Of those, served to customers</t>
        </is>
      </c>
      <c r="B6" s="5">
        <f>COUNTIF(Products!D2:D284,"Yes")</f>
        <v/>
      </c>
      <c r="C6" s="6" t="inlineStr">
        <is>
          <t>Passes the brand-SKU rules as well, so it is what actually appears on the site. Work on these first; the rest are not shown to anyone.</t>
        </is>
      </c>
    </row>
    <row r="8">
      <c r="A8" s="3" t="inlineStr">
        <is>
          <t>GAPS, SERVED PRODUCTS ONLY</t>
        </is>
      </c>
    </row>
    <row r="9">
      <c r="A9" s="4" t="inlineStr">
        <is>
          <t>Missing features</t>
        </is>
      </c>
      <c r="B9" s="5">
        <f>COUNTIFS(Products!D2:D284,"Yes",Products!F2:F284,"No")</f>
        <v/>
      </c>
      <c r="C9" s="6" t="inlineStr">
        <is>
          <t>No feature bullets, so the product page shows none. Content job.</t>
        </is>
      </c>
    </row>
    <row r="10">
      <c r="A10" s="4" t="inlineStr">
        <is>
          <t>Missing weight</t>
        </is>
      </c>
      <c r="B10" s="5">
        <f>COUNTIFS(Products!D2:D284,"Yes",Products!G2:G284,"")</f>
        <v/>
      </c>
      <c r="C10" s="6" t="inlineStr">
        <is>
          <t>Blocks any automated freight quote.</t>
        </is>
      </c>
    </row>
    <row r="11">
      <c r="A11" s="4" t="inlineStr">
        <is>
          <t>Missing dimensions</t>
        </is>
      </c>
      <c r="B11" s="5">
        <f>SUMPRODUCT((Products!D2:D284="Yes")*(((Products!H2:H284="")+(Products!I2:I284="")+(Products!J2:J284=""))&gt;0))</f>
        <v/>
      </c>
      <c r="C11" s="6" t="inlineStr">
        <is>
          <t>Blocks any automated freight quote. Carton, not assembled size. Counts a product missing ANY of length, width or height - 28 carry only some of the three.</t>
        </is>
      </c>
    </row>
    <row r="12">
      <c r="A12" s="4" t="inlineStr">
        <is>
          <t>Missing at least one of the three</t>
        </is>
      </c>
      <c r="B12" s="5">
        <f>COUNTIFS(Products!D2:D284,"Yes",Products!K2:K284,"?*")</f>
        <v/>
      </c>
      <c r="C12" s="6" t="inlineStr">
        <is>
          <t>The real size of the job.</t>
        </is>
      </c>
    </row>
    <row r="14">
      <c r="A14" s="3" t="inlineStr">
        <is>
          <t>FREIGHT IMPACT, SERVED PRODUCTS</t>
        </is>
      </c>
    </row>
    <row r="15">
      <c r="A15" s="4" t="inlineStr">
        <is>
          <t>Quotable by Australia Post today</t>
        </is>
      </c>
      <c r="B15" s="5">
        <f>COUNTIFS(Products!D2:D284,"Yes",Products!L2:L284,"Yes")</f>
        <v/>
      </c>
      <c r="C15" s="6" t="inlineStr">
        <is>
          <t>Within 22kg, 105cm longest side and 0.25 cubic metres.</t>
        </is>
      </c>
    </row>
    <row r="16">
      <c r="A16" s="4" t="inlineStr">
        <is>
          <t>Too big for Australia Post</t>
        </is>
      </c>
      <c r="B16" s="5">
        <f>COUNTIFS(Products!D2:D284,"Yes",Products!L2:L284,"Too big")</f>
        <v/>
      </c>
      <c r="C16" s="6" t="inlineStr">
        <is>
          <t>Racks, rigs, machines and benches. Pallet freight, and always were. Filling in data will not change these.</t>
        </is>
      </c>
    </row>
    <row r="17">
      <c r="A17" s="4" t="inlineStr">
        <is>
          <t>Cannot be assessed, no data</t>
        </is>
      </c>
      <c r="B17" s="5">
        <f>COUNTIFS(Products!D2:D284,"Yes",Products!L2:L284,"No data")</f>
        <v/>
      </c>
      <c r="C17" s="6" t="inlineStr">
        <is>
          <t>THIS is the number that filling in weights and dimensions moves.</t>
        </is>
      </c>
    </row>
    <row r="19">
      <c r="A19" s="3" t="inlineStr">
        <is>
          <t>HOW TO USE THIS</t>
        </is>
      </c>
    </row>
    <row r="20" ht="105" customHeight="1">
      <c r="A20" s="7" t="inlineStr">
        <is>
          <t>Each row is one product. Filter the Products tab on "Served = Yes" and "What is missing" not blank.
Edit in WordPress: Products → the product → Inventory/Shipping for weight and dimensions, and the
ACF features fields for feature bullets. Dimensions are the SHIPPING CARTON in centimetres, not the
assembled size, and weight is the carton weight in kilograms.
The two right-hand columns are formulas: they recalculate as you fill cells in, so this workbook can
be used to track progress. Everything else is data as it stood when the file was generated.</t>
        </is>
      </c>
    </row>
    <row r="23">
      <c r="A23" s="8" t="inlineStr">
        <is>
          <t>ONE PRODUCT NEEDS CORRECTING, NOT FILLING</t>
        </is>
      </c>
    </row>
    <row r="24" ht="32" customHeight="1">
      <c r="A24" s="7" t="inlineStr">
        <is>
          <t>ABPBSB04 (Plyometric Foam Stacker Box - 12") is recorded as 850 x 1000 x 305 cm, which is 259 cubic
metres. That is millimetres typed into a centimetre field. It is highlighted on the Products tab.</t>
        </is>
      </c>
    </row>
  </sheetData>
  <mergeCells count="2">
    <mergeCell ref="A20:C20"/>
    <mergeCell ref="A24:C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6" customWidth="1" min="2" max="2"/>
    <col width="20" customWidth="1" min="3" max="3"/>
    <col width="9" customWidth="1" min="4" max="4"/>
    <col width="11" customWidth="1" min="5" max="5"/>
    <col width="10" customWidth="1" min="6" max="6"/>
    <col width="12" customWidth="1" min="7" max="7"/>
    <col width="12" customWidth="1" min="8" max="8"/>
    <col width="11" customWidth="1" min="9" max="9"/>
    <col width="12" customWidth="1" min="10" max="10"/>
    <col width="30" customWidth="1" min="11" max="11"/>
    <col width="17" customWidth="1" min="12" max="12"/>
    <col width="44" customWidth="1" min="13" max="13"/>
  </cols>
  <sheetData>
    <row r="1" ht="28" customHeight="1">
      <c r="A1" s="9" t="inlineStr">
        <is>
          <t>SKU</t>
        </is>
      </c>
      <c r="B1" s="9" t="inlineStr">
        <is>
          <t>Product</t>
        </is>
      </c>
      <c r="C1" s="9" t="inlineStr">
        <is>
          <t>Category</t>
        </is>
      </c>
      <c r="D1" s="9" t="inlineStr">
        <is>
          <t>Served</t>
        </is>
      </c>
      <c r="E1" s="9" t="inlineStr">
        <is>
          <t>Clearance</t>
        </is>
      </c>
      <c r="F1" s="9" t="inlineStr">
        <is>
          <t>Features</t>
        </is>
      </c>
      <c r="G1" s="9" t="inlineStr">
        <is>
          <t>Weight (kg)</t>
        </is>
      </c>
      <c r="H1" s="9" t="inlineStr">
        <is>
          <t>Length (cm)</t>
        </is>
      </c>
      <c r="I1" s="9" t="inlineStr">
        <is>
          <t>Width (cm)</t>
        </is>
      </c>
      <c r="J1" s="9" t="inlineStr">
        <is>
          <t>Height (cm)</t>
        </is>
      </c>
      <c r="K1" s="9" t="inlineStr">
        <is>
          <t>What is missing</t>
        </is>
      </c>
      <c r="L1" s="9" t="inlineStr">
        <is>
          <t>AusPost quotable</t>
        </is>
      </c>
      <c r="M1" s="9" t="inlineStr">
        <is>
          <t>Page</t>
        </is>
      </c>
    </row>
    <row r="2">
      <c r="A2" s="10" t="inlineStr">
        <is>
          <t>ABCTDR01</t>
        </is>
      </c>
      <c r="B2" s="10" t="inlineStr">
        <is>
          <t>Drop In Core Trainer</t>
        </is>
      </c>
      <c r="C2" s="10" t="inlineStr">
        <is>
          <t>Body Weight</t>
        </is>
      </c>
      <c r="D2" s="11" t="inlineStr">
        <is>
          <t>Yes</t>
        </is>
      </c>
      <c r="E2" s="11" t="inlineStr">
        <is>
          <t>Yes</t>
        </is>
      </c>
      <c r="F2" s="11" t="inlineStr">
        <is>
          <t>Yes</t>
        </is>
      </c>
      <c r="G2" s="12" t="n">
        <v>3</v>
      </c>
      <c r="H2" s="12" t="n">
        <v>43</v>
      </c>
      <c r="I2" s="12" t="n">
        <v>8</v>
      </c>
      <c r="J2" s="12" t="n">
        <v>8</v>
      </c>
      <c r="K2" s="10">
        <f>TRIM(IF(F2="No","Features ","")&amp;IF(G2="","Weight ","")&amp;IF(OR(H2="",I2="",J2="")," Dimensions",""))</f>
        <v/>
      </c>
      <c r="L2" s="11">
        <f>IF(OR(G2="",H2="",I2="",J2=""),"No data",IF(AND(G2&lt;=22,MAX(H2:J2)&lt;=105,(H2*I2*J2)/1000000&lt;=0.25),"Yes","Too big"))</f>
        <v/>
      </c>
      <c r="M2" s="10" t="inlineStr">
        <is>
          <t>/product/drop-in-core-trainer</t>
        </is>
      </c>
    </row>
    <row r="3">
      <c r="A3" s="10" t="inlineStr">
        <is>
          <t>ABCTFS02</t>
        </is>
      </c>
      <c r="B3" s="10" t="inlineStr">
        <is>
          <t>Core Trainer (Landmine) With T Bar Handle</t>
        </is>
      </c>
      <c r="C3" s="10" t="inlineStr">
        <is>
          <t>Body Weight</t>
        </is>
      </c>
      <c r="D3" s="11" t="inlineStr">
        <is>
          <t>Yes</t>
        </is>
      </c>
      <c r="E3" s="11" t="inlineStr">
        <is>
          <t>Yes</t>
        </is>
      </c>
      <c r="F3" s="11" t="inlineStr">
        <is>
          <t>No</t>
        </is>
      </c>
      <c r="G3" s="12" t="n">
        <v>17</v>
      </c>
      <c r="H3" s="12" t="n">
        <v>42</v>
      </c>
      <c r="I3" s="12" t="n">
        <v>17</v>
      </c>
      <c r="J3" s="12" t="n">
        <v>59</v>
      </c>
      <c r="K3" s="10">
        <f>TRIM(IF(F3="No","Features ","")&amp;IF(G3="","Weight ","")&amp;IF(OR(H3="",I3="",J3="")," Dimensions",""))</f>
        <v/>
      </c>
      <c r="L3" s="11">
        <f>IF(OR(G3="",H3="",I3="",J3=""),"No data",IF(AND(G3&lt;=22,MAX(H3:J3)&lt;=105,(H3*I3*J3)/1000000&lt;=0.25),"Yes","Too big"))</f>
        <v/>
      </c>
      <c r="M3" s="10" t="inlineStr">
        <is>
          <t>/product/core-trainer-landmine-with-t-bar-handle-2</t>
        </is>
      </c>
    </row>
    <row r="4">
      <c r="A4" s="10" t="inlineStr">
        <is>
          <t>ABEMMA01</t>
        </is>
      </c>
      <c r="B4" s="10" t="inlineStr">
        <is>
          <t>EVA Exercise Mat</t>
        </is>
      </c>
      <c r="C4" s="10" t="inlineStr">
        <is>
          <t>Body Weight</t>
        </is>
      </c>
      <c r="D4" s="11" t="inlineStr">
        <is>
          <t>Yes</t>
        </is>
      </c>
      <c r="E4" s="11" t="inlineStr">
        <is>
          <t>Yes</t>
        </is>
      </c>
      <c r="F4" s="11" t="inlineStr">
        <is>
          <t>No</t>
        </is>
      </c>
      <c r="G4" s="12" t="n">
        <v>3</v>
      </c>
      <c r="H4" s="12" t="n">
        <v>140</v>
      </c>
      <c r="I4" s="12" t="n">
        <v>62</v>
      </c>
      <c r="J4" s="12" t="n">
        <v>1.6</v>
      </c>
      <c r="K4" s="10">
        <f>TRIM(IF(F4="No","Features ","")&amp;IF(G4="","Weight ","")&amp;IF(OR(H4="",I4="",J4="")," Dimensions",""))</f>
        <v/>
      </c>
      <c r="L4" s="11">
        <f>IF(OR(G4="",H4="",I4="",J4=""),"No data",IF(AND(G4&lt;=22,MAX(H4:J4)&lt;=105,(H4*I4*J4)/1000000&lt;=0.25),"Yes","Too big"))</f>
        <v/>
      </c>
      <c r="M4" s="10" t="inlineStr">
        <is>
          <t>/product/eva-exercise-mat</t>
        </is>
      </c>
    </row>
    <row r="5">
      <c r="A5" s="10" t="inlineStr">
        <is>
          <t>ABPBMS-01-1</t>
        </is>
      </c>
      <c r="B5" s="10" t="inlineStr">
        <is>
          <t>Plyometric Box 45cm</t>
        </is>
      </c>
      <c r="C5" s="10" t="inlineStr">
        <is>
          <t>Body Weight</t>
        </is>
      </c>
      <c r="D5" s="11" t="inlineStr">
        <is>
          <t>Yes</t>
        </is>
      </c>
      <c r="E5" s="11" t="inlineStr">
        <is>
          <t>Yes</t>
        </is>
      </c>
      <c r="F5" s="11" t="inlineStr">
        <is>
          <t>No</t>
        </is>
      </c>
      <c r="G5" s="12" t="n">
        <v>9</v>
      </c>
      <c r="H5" s="12" t="n">
        <v>44</v>
      </c>
      <c r="I5" s="12" t="n">
        <v>44</v>
      </c>
      <c r="J5" s="12" t="n">
        <v>47</v>
      </c>
      <c r="K5" s="10">
        <f>TRIM(IF(F5="No","Features ","")&amp;IF(G5="","Weight ","")&amp;IF(OR(H5="",I5="",J5="")," Dimensions",""))</f>
        <v/>
      </c>
      <c r="L5" s="11">
        <f>IF(OR(G5="",H5="",I5="",J5=""),"No data",IF(AND(G5&lt;=22,MAX(H5:J5)&lt;=105,(H5*I5*J5)/1000000&lt;=0.25),"Yes","Too big"))</f>
        <v/>
      </c>
      <c r="M5" s="10" t="inlineStr">
        <is>
          <t>/product/plyometric-box-45cm</t>
        </is>
      </c>
    </row>
    <row r="6">
      <c r="A6" s="10" t="inlineStr">
        <is>
          <t>ABPBSB-06</t>
        </is>
      </c>
      <c r="B6" s="10" t="inlineStr">
        <is>
          <t>Plyometric Foam Stacker Box- 24"</t>
        </is>
      </c>
      <c r="C6" s="10" t="inlineStr">
        <is>
          <t>Body Weight</t>
        </is>
      </c>
      <c r="D6" s="11" t="inlineStr">
        <is>
          <t>Yes</t>
        </is>
      </c>
      <c r="E6" s="11" t="inlineStr">
        <is>
          <t>Yes</t>
        </is>
      </c>
      <c r="F6" s="11" t="inlineStr">
        <is>
          <t>Yes</t>
        </is>
      </c>
      <c r="G6" s="12" t="n">
        <v>13</v>
      </c>
      <c r="H6" s="12" t="n">
        <v>85</v>
      </c>
      <c r="I6" s="12" t="n">
        <v>100</v>
      </c>
      <c r="J6" s="12" t="n">
        <v>30.5</v>
      </c>
      <c r="K6" s="10">
        <f>TRIM(IF(F6="No","Features ","")&amp;IF(G6="","Weight ","")&amp;IF(OR(H6="",I6="",J6="")," Dimensions",""))</f>
        <v/>
      </c>
      <c r="L6" s="11">
        <f>IF(OR(G6="",H6="",I6="",J6=""),"No data",IF(AND(G6&lt;=22,MAX(H6:J6)&lt;=105,(H6*I6*J6)/1000000&lt;=0.25),"Yes","Too big"))</f>
        <v/>
      </c>
      <c r="M6" s="10" t="inlineStr">
        <is>
          <t>/product/plyometric-foam-stacker-box-24</t>
        </is>
      </c>
    </row>
    <row r="7">
      <c r="A7" s="10" t="inlineStr">
        <is>
          <t>ABPBSB04</t>
        </is>
      </c>
      <c r="B7" s="10" t="inlineStr">
        <is>
          <t>Plyometric Foam Stacker Box- 12"</t>
        </is>
      </c>
      <c r="C7" s="10" t="inlineStr">
        <is>
          <t>Body Weight</t>
        </is>
      </c>
      <c r="D7" s="11" t="inlineStr">
        <is>
          <t>Yes</t>
        </is>
      </c>
      <c r="E7" s="11" t="inlineStr">
        <is>
          <t>Yes</t>
        </is>
      </c>
      <c r="F7" s="11" t="inlineStr">
        <is>
          <t>Yes</t>
        </is>
      </c>
      <c r="G7" s="13" t="n">
        <v>13</v>
      </c>
      <c r="H7" s="13" t="n">
        <v>850</v>
      </c>
      <c r="I7" s="13" t="n">
        <v>1000</v>
      </c>
      <c r="J7" s="13" t="n">
        <v>305</v>
      </c>
      <c r="K7" s="10">
        <f>TRIM(IF(F7="No","Features ","")&amp;IF(G7="","Weight ","")&amp;IF(OR(H7="",I7="",J7="")," Dimensions",""))</f>
        <v/>
      </c>
      <c r="L7" s="11">
        <f>IF(OR(G7="",H7="",I7="",J7=""),"No data",IF(AND(G7&lt;=22,MAX(H7:J7)&lt;=105,(H7*I7*J7)/1000000&lt;=0.25),"Yes","Too big"))</f>
        <v/>
      </c>
      <c r="M7" s="10" t="inlineStr">
        <is>
          <t>/product/foam-plyometric-box-alt-v</t>
        </is>
      </c>
    </row>
    <row r="8">
      <c r="A8" s="10" t="inlineStr">
        <is>
          <t>ABRPBA01</t>
        </is>
      </c>
      <c r="B8" s="10" t="inlineStr">
        <is>
          <t>Knitted Resistance Bands (Set of 3)</t>
        </is>
      </c>
      <c r="C8" s="10" t="inlineStr">
        <is>
          <t>Body Weight</t>
        </is>
      </c>
      <c r="D8" s="11" t="inlineStr">
        <is>
          <t>Yes</t>
        </is>
      </c>
      <c r="E8" s="11" t="inlineStr">
        <is>
          <t>Yes</t>
        </is>
      </c>
      <c r="F8" s="11" t="inlineStr">
        <is>
          <t>No</t>
        </is>
      </c>
      <c r="G8" s="12" t="n">
        <v>1</v>
      </c>
      <c r="H8" s="12" t="n">
        <v>34</v>
      </c>
      <c r="I8" s="12" t="n">
        <v>24</v>
      </c>
      <c r="J8" s="12" t="n">
        <v>2</v>
      </c>
      <c r="K8" s="10">
        <f>TRIM(IF(F8="No","Features ","")&amp;IF(G8="","Weight ","")&amp;IF(OR(H8="",I8="",J8="")," Dimensions",""))</f>
        <v/>
      </c>
      <c r="L8" s="11">
        <f>IF(OR(G8="",H8="",I8="",J8=""),"No data",IF(AND(G8&lt;=22,MAX(H8:J8)&lt;=105,(H8*I8*J8)/1000000&lt;=0.25),"Yes","Too big"))</f>
        <v/>
      </c>
      <c r="M8" s="10" t="inlineStr">
        <is>
          <t>/product/knitted-resistance-bands-set-of-3-2</t>
        </is>
      </c>
    </row>
    <row r="9">
      <c r="A9" s="10" t="inlineStr">
        <is>
          <t>ABRPPO</t>
        </is>
      </c>
      <c r="B9" s="10" t="inlineStr">
        <is>
          <t>Power Bands</t>
        </is>
      </c>
      <c r="C9" s="10" t="inlineStr">
        <is>
          <t>Body Weight</t>
        </is>
      </c>
      <c r="D9" s="11" t="inlineStr">
        <is>
          <t>Yes</t>
        </is>
      </c>
      <c r="E9" s="11" t="inlineStr">
        <is>
          <t>Yes</t>
        </is>
      </c>
      <c r="F9" s="11" t="inlineStr">
        <is>
          <t>No</t>
        </is>
      </c>
      <c r="G9" s="12" t="n"/>
      <c r="H9" s="12" t="n"/>
      <c r="I9" s="12" t="n"/>
      <c r="J9" s="12" t="n"/>
      <c r="K9" s="10">
        <f>TRIM(IF(F9="No","Features ","")&amp;IF(G9="","Weight ","")&amp;IF(OR(H9="",I9="",J9="")," Dimensions",""))</f>
        <v/>
      </c>
      <c r="L9" s="11">
        <f>IF(OR(G9="",H9="",I9="",J9=""),"No data",IF(AND(G9&lt;=22,MAX(H9:J9)&lt;=105,(H9*I9*J9)/1000000&lt;=0.25),"Yes","Too big"))</f>
        <v/>
      </c>
      <c r="M9" s="10" t="inlineStr">
        <is>
          <t>/product/power-bands-alt-v</t>
        </is>
      </c>
    </row>
    <row r="10">
      <c r="A10" s="10" t="inlineStr">
        <is>
          <t>ABSADI01</t>
        </is>
      </c>
      <c r="B10" s="10" t="inlineStr">
        <is>
          <t>Mini Disc Cones (Set of 50)</t>
        </is>
      </c>
      <c r="C10" s="10" t="inlineStr">
        <is>
          <t>Body Weight</t>
        </is>
      </c>
      <c r="D10" s="11" t="inlineStr">
        <is>
          <t>Yes</t>
        </is>
      </c>
      <c r="E10" s="11" t="inlineStr">
        <is>
          <t>Yes</t>
        </is>
      </c>
      <c r="F10" s="11" t="inlineStr">
        <is>
          <t>No</t>
        </is>
      </c>
      <c r="G10" s="12" t="n">
        <v>2</v>
      </c>
      <c r="H10" s="12" t="n">
        <v>15</v>
      </c>
      <c r="I10" s="12" t="n">
        <v>15</v>
      </c>
      <c r="J10" s="12" t="n">
        <v>15</v>
      </c>
      <c r="K10" s="10">
        <f>TRIM(IF(F10="No","Features ","")&amp;IF(G10="","Weight ","")&amp;IF(OR(H10="",I10="",J10="")," Dimensions",""))</f>
        <v/>
      </c>
      <c r="L10" s="11">
        <f>IF(OR(G10="",H10="",I10="",J10=""),"No data",IF(AND(G10&lt;=22,MAX(H10:J10)&lt;=105,(H10*I10*J10)/1000000&lt;=0.25),"Yes","Too big"))</f>
        <v/>
      </c>
      <c r="M10" s="10" t="inlineStr">
        <is>
          <t>/product/mini-disc-cones-set-of-50-2</t>
        </is>
      </c>
    </row>
    <row r="11">
      <c r="A11" s="10" t="inlineStr">
        <is>
          <t>ABSADO01</t>
        </is>
      </c>
      <c r="B11" s="10" t="inlineStr">
        <is>
          <t>Station Markers (Set of 96) - Numbers</t>
        </is>
      </c>
      <c r="C11" s="10" t="inlineStr">
        <is>
          <t>Body Weight</t>
        </is>
      </c>
      <c r="D11" s="11" t="inlineStr">
        <is>
          <t>Yes</t>
        </is>
      </c>
      <c r="E11" s="11" t="inlineStr">
        <is>
          <t>Yes</t>
        </is>
      </c>
      <c r="F11" s="11" t="inlineStr">
        <is>
          <t>No</t>
        </is>
      </c>
      <c r="G11" s="12" t="n"/>
      <c r="H11" s="12" t="n"/>
      <c r="I11" s="12" t="n"/>
      <c r="J11" s="12" t="n"/>
      <c r="K11" s="10">
        <f>TRIM(IF(F11="No","Features ","")&amp;IF(G11="","Weight ","")&amp;IF(OR(H11="",I11="",J11="")," Dimensions",""))</f>
        <v/>
      </c>
      <c r="L11" s="11">
        <f>IF(OR(G11="",H11="",I11="",J11=""),"No data",IF(AND(G11&lt;=22,MAX(H11:J11)&lt;=105,(H11*I11*J11)/1000000&lt;=0.25),"Yes","Too big"))</f>
        <v/>
      </c>
      <c r="M11" s="10" t="inlineStr">
        <is>
          <t>/product/station-markers-set-of-96-numbers</t>
        </is>
      </c>
    </row>
    <row r="12">
      <c r="A12" s="10" t="inlineStr">
        <is>
          <t>ABSADO02</t>
        </is>
      </c>
      <c r="B12" s="10" t="inlineStr">
        <is>
          <t>Station Markers (Set of 15) - Boost</t>
        </is>
      </c>
      <c r="C12" s="10" t="inlineStr">
        <is>
          <t>Body Weight</t>
        </is>
      </c>
      <c r="D12" s="11" t="inlineStr">
        <is>
          <t>Yes</t>
        </is>
      </c>
      <c r="E12" s="11" t="inlineStr">
        <is>
          <t>Yes</t>
        </is>
      </c>
      <c r="F12" s="11" t="inlineStr">
        <is>
          <t>No</t>
        </is>
      </c>
      <c r="G12" s="12" t="n"/>
      <c r="H12" s="12" t="n"/>
      <c r="I12" s="12" t="n"/>
      <c r="J12" s="12" t="n"/>
      <c r="K12" s="10">
        <f>TRIM(IF(F12="No","Features ","")&amp;IF(G12="","Weight ","")&amp;IF(OR(H12="",I12="",J12="")," Dimensions",""))</f>
        <v/>
      </c>
      <c r="L12" s="11">
        <f>IF(OR(G12="",H12="",I12="",J12=""),"No data",IF(AND(G12&lt;=22,MAX(H12:J12)&lt;=105,(H12*I12*J12)/1000000&lt;=0.25),"Yes","Too big"))</f>
        <v/>
      </c>
      <c r="M12" s="10" t="inlineStr">
        <is>
          <t>/product/station-markers-set-of-15-boost</t>
        </is>
      </c>
    </row>
    <row r="13">
      <c r="A13" s="10" t="inlineStr">
        <is>
          <t>ABSADO03</t>
        </is>
      </c>
      <c r="B13" s="10" t="inlineStr">
        <is>
          <t>Station Markers (Set of 15) - Rep</t>
        </is>
      </c>
      <c r="C13" s="10" t="inlineStr">
        <is>
          <t>Body Weight</t>
        </is>
      </c>
      <c r="D13" s="11" t="inlineStr">
        <is>
          <t>Yes</t>
        </is>
      </c>
      <c r="E13" s="11" t="inlineStr">
        <is>
          <t>Yes</t>
        </is>
      </c>
      <c r="F13" s="11" t="inlineStr">
        <is>
          <t>No</t>
        </is>
      </c>
      <c r="G13" s="12" t="n"/>
      <c r="H13" s="12" t="n"/>
      <c r="I13" s="12" t="n"/>
      <c r="J13" s="12" t="n"/>
      <c r="K13" s="10">
        <f>TRIM(IF(F13="No","Features ","")&amp;IF(G13="","Weight ","")&amp;IF(OR(H13="",I13="",J13="")," Dimensions",""))</f>
        <v/>
      </c>
      <c r="L13" s="11">
        <f>IF(OR(G13="",H13="",I13="",J13=""),"No data",IF(AND(G13&lt;=22,MAX(H13:J13)&lt;=105,(H13*I13*J13)/1000000&lt;=0.25),"Yes","Too big"))</f>
        <v/>
      </c>
      <c r="M13" s="10" t="inlineStr">
        <is>
          <t>/product/station-markers-set-of-15-rep</t>
        </is>
      </c>
    </row>
    <row r="14">
      <c r="A14" s="10" t="inlineStr">
        <is>
          <t>ABSADO04</t>
        </is>
      </c>
      <c r="B14" s="10" t="inlineStr">
        <is>
          <t>Station Markers (Set of 15) - Neural</t>
        </is>
      </c>
      <c r="C14" s="10" t="inlineStr">
        <is>
          <t>Body Weight</t>
        </is>
      </c>
      <c r="D14" s="11" t="inlineStr">
        <is>
          <t>Yes</t>
        </is>
      </c>
      <c r="E14" s="11" t="inlineStr">
        <is>
          <t>Yes</t>
        </is>
      </c>
      <c r="F14" s="11" t="inlineStr">
        <is>
          <t>No</t>
        </is>
      </c>
      <c r="G14" s="12" t="n"/>
      <c r="H14" s="12" t="n"/>
      <c r="I14" s="12" t="n"/>
      <c r="J14" s="12" t="n"/>
      <c r="K14" s="10">
        <f>TRIM(IF(F14="No","Features ","")&amp;IF(G14="","Weight ","")&amp;IF(OR(H14="",I14="",J14="")," Dimensions",""))</f>
        <v/>
      </c>
      <c r="L14" s="11">
        <f>IF(OR(G14="",H14="",I14="",J14=""),"No data",IF(AND(G14&lt;=22,MAX(H14:J14)&lt;=105,(H14*I14*J14)/1000000&lt;=0.25),"Yes","Too big"))</f>
        <v/>
      </c>
      <c r="M14" s="10" t="inlineStr">
        <is>
          <t>/product/station-markers-set-of-15-neural</t>
        </is>
      </c>
    </row>
    <row r="15">
      <c r="A15" s="10" t="inlineStr">
        <is>
          <t>ABSADO05</t>
        </is>
      </c>
      <c r="B15" s="10" t="inlineStr">
        <is>
          <t>Station Markers (Set of 15) - Form</t>
        </is>
      </c>
      <c r="C15" s="10" t="inlineStr">
        <is>
          <t>Body Weight</t>
        </is>
      </c>
      <c r="D15" s="11" t="inlineStr">
        <is>
          <t>Yes</t>
        </is>
      </c>
      <c r="E15" s="11" t="inlineStr">
        <is>
          <t>Yes</t>
        </is>
      </c>
      <c r="F15" s="11" t="inlineStr">
        <is>
          <t>No</t>
        </is>
      </c>
      <c r="G15" s="12" t="n"/>
      <c r="H15" s="12" t="n"/>
      <c r="I15" s="12" t="n"/>
      <c r="J15" s="12" t="n"/>
      <c r="K15" s="10">
        <f>TRIM(IF(F15="No","Features ","")&amp;IF(G15="","Weight ","")&amp;IF(OR(H15="",I15="",J15="")," Dimensions",""))</f>
        <v/>
      </c>
      <c r="L15" s="11">
        <f>IF(OR(G15="",H15="",I15="",J15=""),"No data",IF(AND(G15&lt;=22,MAX(H15:J15)&lt;=105,(H15*I15*J15)/1000000&lt;=0.25),"Yes","Too big"))</f>
        <v/>
      </c>
      <c r="M15" s="10" t="inlineStr">
        <is>
          <t>/product/station-markers-set-of-15-form</t>
        </is>
      </c>
    </row>
    <row r="16">
      <c r="A16" s="10" t="inlineStr">
        <is>
          <t>ABSADO06</t>
        </is>
      </c>
      <c r="B16" s="10" t="inlineStr">
        <is>
          <t>Station Markers (Set of 15) - Hero</t>
        </is>
      </c>
      <c r="C16" s="10" t="inlineStr">
        <is>
          <t>Body Weight</t>
        </is>
      </c>
      <c r="D16" s="11" t="inlineStr">
        <is>
          <t>Yes</t>
        </is>
      </c>
      <c r="E16" s="11" t="inlineStr">
        <is>
          <t>Yes</t>
        </is>
      </c>
      <c r="F16" s="11" t="inlineStr">
        <is>
          <t>No</t>
        </is>
      </c>
      <c r="G16" s="12" t="n"/>
      <c r="H16" s="12" t="n"/>
      <c r="I16" s="12" t="n"/>
      <c r="J16" s="12" t="n"/>
      <c r="K16" s="10">
        <f>TRIM(IF(F16="No","Features ","")&amp;IF(G16="","Weight ","")&amp;IF(OR(H16="",I16="",J16="")," Dimensions",""))</f>
        <v/>
      </c>
      <c r="L16" s="11">
        <f>IF(OR(G16="",H16="",I16="",J16=""),"No data",IF(AND(G16&lt;=22,MAX(H16:J16)&lt;=105,(H16*I16*J16)/1000000&lt;=0.25),"Yes","Too big"))</f>
        <v/>
      </c>
      <c r="M16" s="10" t="inlineStr">
        <is>
          <t>/product/station-markers-set-of-15-hero</t>
        </is>
      </c>
    </row>
    <row r="17">
      <c r="A17" s="10" t="inlineStr">
        <is>
          <t>ABSADO07</t>
        </is>
      </c>
      <c r="B17" s="10" t="inlineStr">
        <is>
          <t>Station Markers (Set of 15) - Functional</t>
        </is>
      </c>
      <c r="C17" s="10" t="inlineStr">
        <is>
          <t>Body Weight</t>
        </is>
      </c>
      <c r="D17" s="11" t="inlineStr">
        <is>
          <t>Yes</t>
        </is>
      </c>
      <c r="E17" s="11" t="inlineStr">
        <is>
          <t>Yes</t>
        </is>
      </c>
      <c r="F17" s="11" t="inlineStr">
        <is>
          <t>No</t>
        </is>
      </c>
      <c r="G17" s="12" t="n"/>
      <c r="H17" s="12" t="n"/>
      <c r="I17" s="12" t="n"/>
      <c r="J17" s="12" t="n"/>
      <c r="K17" s="10">
        <f>TRIM(IF(F17="No","Features ","")&amp;IF(G17="","Weight ","")&amp;IF(OR(H17="",I17="",J17="")," Dimensions",""))</f>
        <v/>
      </c>
      <c r="L17" s="11">
        <f>IF(OR(G17="",H17="",I17="",J17=""),"No data",IF(AND(G17&lt;=22,MAX(H17:J17)&lt;=105,(H17*I17*J17)/1000000&lt;=0.25),"Yes","Too big"))</f>
        <v/>
      </c>
      <c r="M17" s="10" t="inlineStr">
        <is>
          <t>/product/station-markers-set-of-15-functional</t>
        </is>
      </c>
    </row>
    <row r="18">
      <c r="A18" s="10" t="inlineStr">
        <is>
          <t>ABSADO08</t>
        </is>
      </c>
      <c r="B18" s="10" t="inlineStr">
        <is>
          <t>Station Markers (Set of 15) - Sherpa</t>
        </is>
      </c>
      <c r="C18" s="10" t="inlineStr">
        <is>
          <t>Body Weight</t>
        </is>
      </c>
      <c r="D18" s="11" t="inlineStr">
        <is>
          <t>Yes</t>
        </is>
      </c>
      <c r="E18" s="11" t="inlineStr">
        <is>
          <t>Yes</t>
        </is>
      </c>
      <c r="F18" s="11" t="inlineStr">
        <is>
          <t>No</t>
        </is>
      </c>
      <c r="G18" s="12" t="n"/>
      <c r="H18" s="12" t="n"/>
      <c r="I18" s="12" t="n"/>
      <c r="J18" s="12" t="n"/>
      <c r="K18" s="10">
        <f>TRIM(IF(F18="No","Features ","")&amp;IF(G18="","Weight ","")&amp;IF(OR(H18="",I18="",J18="")," Dimensions",""))</f>
        <v/>
      </c>
      <c r="L18" s="11">
        <f>IF(OR(G18="",H18="",I18="",J18=""),"No data",IF(AND(G18&lt;=22,MAX(H18:J18)&lt;=105,(H18*I18*J18)/1000000&lt;=0.25),"Yes","Too big"))</f>
        <v/>
      </c>
      <c r="M18" s="10" t="inlineStr">
        <is>
          <t>/product/station-markers-set-of-15-sherpa</t>
        </is>
      </c>
    </row>
    <row r="19">
      <c r="A19" s="10" t="inlineStr">
        <is>
          <t>ABSUTR01</t>
        </is>
      </c>
      <c r="B19" s="10" t="inlineStr">
        <is>
          <t>Suspension Trainer</t>
        </is>
      </c>
      <c r="C19" s="10" t="inlineStr">
        <is>
          <t>Body Weight</t>
        </is>
      </c>
      <c r="D19" s="11" t="inlineStr">
        <is>
          <t>Yes</t>
        </is>
      </c>
      <c r="E19" s="11" t="inlineStr">
        <is>
          <t>Yes</t>
        </is>
      </c>
      <c r="F19" s="11" t="inlineStr">
        <is>
          <t>No</t>
        </is>
      </c>
      <c r="G19" s="12" t="n">
        <v>6</v>
      </c>
      <c r="H19" s="12" t="n">
        <v>23</v>
      </c>
      <c r="I19" s="12" t="n">
        <v>23</v>
      </c>
      <c r="J19" s="12" t="n">
        <v>9</v>
      </c>
      <c r="K19" s="10">
        <f>TRIM(IF(F19="No","Features ","")&amp;IF(G19="","Weight ","")&amp;IF(OR(H19="",I19="",J19="")," Dimensions",""))</f>
        <v/>
      </c>
      <c r="L19" s="11">
        <f>IF(OR(G19="",H19="",I19="",J19=""),"No data",IF(AND(G19&lt;=22,MAX(H19:J19)&lt;=105,(H19*I19*J19)/1000000&lt;=0.25),"Yes","Too big"))</f>
        <v/>
      </c>
      <c r="M19" s="10" t="inlineStr">
        <is>
          <t>/product/suspension-trainer</t>
        </is>
      </c>
    </row>
    <row r="20">
      <c r="A20" s="10" t="inlineStr">
        <is>
          <t>MBASADJ-GROUP</t>
        </is>
      </c>
      <c r="B20" s="10" t="inlineStr">
        <is>
          <t>Group Fitness Step</t>
        </is>
      </c>
      <c r="C20" s="10" t="inlineStr">
        <is>
          <t>Body Weight</t>
        </is>
      </c>
      <c r="D20" s="11" t="inlineStr">
        <is>
          <t>Yes</t>
        </is>
      </c>
      <c r="E20" s="11" t="inlineStr"/>
      <c r="F20" s="11" t="inlineStr">
        <is>
          <t>Yes</t>
        </is>
      </c>
      <c r="G20" s="12" t="n">
        <v>18</v>
      </c>
      <c r="H20" s="12" t="n">
        <v>44.5</v>
      </c>
      <c r="I20" s="12" t="n">
        <v>44.5</v>
      </c>
      <c r="J20" s="12" t="n">
        <v>37</v>
      </c>
      <c r="K20" s="10">
        <f>TRIM(IF(F20="No","Features ","")&amp;IF(G20="","Weight ","")&amp;IF(OR(H20="",I20="",J20="")," Dimensions",""))</f>
        <v/>
      </c>
      <c r="L20" s="11">
        <f>IF(OR(G20="",H20="",I20="",J20=""),"No data",IF(AND(G20&lt;=22,MAX(H20:J20)&lt;=105,(H20*I20*J20)/1000000&lt;=0.25),"Yes","Too big"))</f>
        <v/>
      </c>
      <c r="M20" s="10" t="inlineStr">
        <is>
          <t>/product/group-fitness-step</t>
        </is>
      </c>
    </row>
    <row r="21">
      <c r="A21" s="10" t="inlineStr">
        <is>
          <t>MBASADJ01</t>
        </is>
      </c>
      <c r="B21" s="10" t="inlineStr">
        <is>
          <t>Group Fitness Step (Adjustable)</t>
        </is>
      </c>
      <c r="C21" s="10" t="inlineStr">
        <is>
          <t>Body Weight</t>
        </is>
      </c>
      <c r="D21" s="11" t="inlineStr">
        <is>
          <t>Yes</t>
        </is>
      </c>
      <c r="E21" s="11" t="inlineStr"/>
      <c r="F21" s="11" t="inlineStr">
        <is>
          <t>No</t>
        </is>
      </c>
      <c r="G21" s="12" t="n">
        <v>13</v>
      </c>
      <c r="H21" s="12" t="n">
        <v>120</v>
      </c>
      <c r="I21" s="12" t="n">
        <v>31</v>
      </c>
      <c r="J21" s="12" t="n">
        <v>20</v>
      </c>
      <c r="K21" s="10">
        <f>TRIM(IF(F21="No","Features ","")&amp;IF(G21="","Weight ","")&amp;IF(OR(H21="",I21="",J21="")," Dimensions",""))</f>
        <v/>
      </c>
      <c r="L21" s="11">
        <f>IF(OR(G21="",H21="",I21="",J21=""),"No data",IF(AND(G21&lt;=22,MAX(H21:J21)&lt;=105,(H21*I21*J21)/1000000&lt;=0.25),"Yes","Too big"))</f>
        <v/>
      </c>
      <c r="M21" s="10" t="inlineStr">
        <is>
          <t>/product/group-fitness-step-adjustable</t>
        </is>
      </c>
    </row>
    <row r="22">
      <c r="A22" s="10" t="inlineStr">
        <is>
          <t>MBBSCU01</t>
        </is>
      </c>
      <c r="B22" s="10" t="inlineStr">
        <is>
          <t>Balance Cushion</t>
        </is>
      </c>
      <c r="C22" s="10" t="inlineStr">
        <is>
          <t>Body Weight</t>
        </is>
      </c>
      <c r="D22" s="11" t="inlineStr">
        <is>
          <t>Yes</t>
        </is>
      </c>
      <c r="E22" s="11" t="inlineStr"/>
      <c r="F22" s="11" t="inlineStr">
        <is>
          <t>No</t>
        </is>
      </c>
      <c r="G22" s="12" t="n">
        <v>3</v>
      </c>
      <c r="H22" s="12" t="n">
        <v>33</v>
      </c>
      <c r="I22" s="12" t="n">
        <v>33</v>
      </c>
      <c r="J22" s="12" t="n">
        <v>6</v>
      </c>
      <c r="K22" s="10">
        <f>TRIM(IF(F22="No","Features ","")&amp;IF(G22="","Weight ","")&amp;IF(OR(H22="",I22="",J22="")," Dimensions",""))</f>
        <v/>
      </c>
      <c r="L22" s="11">
        <f>IF(OR(G22="",H22="",I22="",J22=""),"No data",IF(AND(G22&lt;=22,MAX(H22:J22)&lt;=105,(H22*I22*J22)/1000000&lt;=0.25),"Yes","Too big"))</f>
        <v/>
      </c>
      <c r="M22" s="10" t="inlineStr">
        <is>
          <t>/product/balance-cushion</t>
        </is>
      </c>
    </row>
    <row r="23">
      <c r="A23" s="10" t="inlineStr">
        <is>
          <t>MBBSTR01</t>
        </is>
      </c>
      <c r="B23" s="10" t="inlineStr">
        <is>
          <t>Fitness &amp;amp; Balance Trainer</t>
        </is>
      </c>
      <c r="C23" s="10" t="inlineStr">
        <is>
          <t>Body Weight</t>
        </is>
      </c>
      <c r="D23" s="11" t="inlineStr">
        <is>
          <t>Yes</t>
        </is>
      </c>
      <c r="E23" s="11" t="inlineStr"/>
      <c r="F23" s="11" t="inlineStr">
        <is>
          <t>No</t>
        </is>
      </c>
      <c r="G23" s="12" t="n">
        <v>8</v>
      </c>
      <c r="H23" s="12" t="n">
        <v>6.6</v>
      </c>
      <c r="I23" s="12" t="n">
        <v>6.6</v>
      </c>
      <c r="J23" s="12" t="n">
        <v>0.9</v>
      </c>
      <c r="K23" s="10">
        <f>TRIM(IF(F23="No","Features ","")&amp;IF(G23="","Weight ","")&amp;IF(OR(H23="",I23="",J23="")," Dimensions",""))</f>
        <v/>
      </c>
      <c r="L23" s="11">
        <f>IF(OR(G23="",H23="",I23="",J23=""),"No data",IF(AND(G23&lt;=22,MAX(H23:J23)&lt;=105,(H23*I23*J23)/1000000&lt;=0.25),"Yes","Too big"))</f>
        <v/>
      </c>
      <c r="M23" s="10" t="inlineStr">
        <is>
          <t>/product/fitness-balance-trainer</t>
        </is>
      </c>
    </row>
    <row r="24">
      <c r="A24" s="10" t="inlineStr">
        <is>
          <t>MBCTACC01</t>
        </is>
      </c>
      <c r="B24" s="10" t="inlineStr">
        <is>
          <t>Utility Roller</t>
        </is>
      </c>
      <c r="C24" s="10" t="inlineStr">
        <is>
          <t>Body Weight</t>
        </is>
      </c>
      <c r="D24" s="11" t="inlineStr">
        <is>
          <t>Yes</t>
        </is>
      </c>
      <c r="E24" s="11" t="inlineStr"/>
      <c r="F24" s="11" t="inlineStr">
        <is>
          <t>Yes</t>
        </is>
      </c>
      <c r="G24" s="12" t="n">
        <v>10</v>
      </c>
      <c r="H24" s="12" t="n">
        <v>68</v>
      </c>
      <c r="I24" s="12" t="n">
        <v>34.5</v>
      </c>
      <c r="J24" s="12" t="n">
        <v>8.5</v>
      </c>
      <c r="K24" s="10">
        <f>TRIM(IF(F24="No","Features ","")&amp;IF(G24="","Weight ","")&amp;IF(OR(H24="",I24="",J24="")," Dimensions",""))</f>
        <v/>
      </c>
      <c r="L24" s="11">
        <f>IF(OR(G24="",H24="",I24="",J24=""),"No data",IF(AND(G24&lt;=22,MAX(H24:J24)&lt;=105,(H24*I24*J24)/1000000&lt;=0.25),"Yes","Too big"))</f>
        <v/>
      </c>
      <c r="M24" s="10" t="inlineStr">
        <is>
          <t>/product/utility-roller</t>
        </is>
      </c>
    </row>
    <row r="25">
      <c r="A25" s="10" t="inlineStr">
        <is>
          <t>MBCTDI01</t>
        </is>
      </c>
      <c r="B25" s="10" t="inlineStr">
        <is>
          <t>Exercise Glider Discs (Pair)</t>
        </is>
      </c>
      <c r="C25" s="10" t="inlineStr">
        <is>
          <t>Body Weight</t>
        </is>
      </c>
      <c r="D25" s="11" t="inlineStr">
        <is>
          <t>Yes</t>
        </is>
      </c>
      <c r="E25" s="11" t="inlineStr"/>
      <c r="F25" s="11" t="inlineStr">
        <is>
          <t>Yes</t>
        </is>
      </c>
      <c r="G25" s="12" t="n">
        <v>1</v>
      </c>
      <c r="H25" s="12" t="n">
        <v>20</v>
      </c>
      <c r="I25" s="12" t="n">
        <v>22</v>
      </c>
      <c r="J25" s="12" t="n">
        <v>10</v>
      </c>
      <c r="K25" s="10">
        <f>TRIM(IF(F25="No","Features ","")&amp;IF(G25="","Weight ","")&amp;IF(OR(H25="",I25="",J25="")," Dimensions",""))</f>
        <v/>
      </c>
      <c r="L25" s="11">
        <f>IF(OR(G25="",H25="",I25="",J25=""),"No data",IF(AND(G25&lt;=22,MAX(H25:J25)&lt;=105,(H25*I25*J25)/1000000&lt;=0.25),"Yes","Too big"))</f>
        <v/>
      </c>
      <c r="M25" s="10" t="inlineStr">
        <is>
          <t>/product/exercise-glider-discs-pair</t>
        </is>
      </c>
    </row>
    <row r="26">
      <c r="A26" s="10" t="inlineStr">
        <is>
          <t>MBCTDR01</t>
        </is>
      </c>
      <c r="B26" s="10" t="inlineStr">
        <is>
          <t>Drop In Core Trainer</t>
        </is>
      </c>
      <c r="C26" s="10" t="inlineStr">
        <is>
          <t>Body Weight</t>
        </is>
      </c>
      <c r="D26" s="11" t="inlineStr">
        <is>
          <t>Yes</t>
        </is>
      </c>
      <c r="E26" s="11" t="inlineStr"/>
      <c r="F26" s="11" t="inlineStr">
        <is>
          <t>No</t>
        </is>
      </c>
      <c r="G26" s="12" t="n">
        <v>3</v>
      </c>
      <c r="H26" s="12" t="n">
        <v>43</v>
      </c>
      <c r="I26" s="12" t="n">
        <v>8</v>
      </c>
      <c r="J26" s="12" t="n">
        <v>8</v>
      </c>
      <c r="K26" s="10">
        <f>TRIM(IF(F26="No","Features ","")&amp;IF(G26="","Weight ","")&amp;IF(OR(H26="",I26="",J26="")," Dimensions",""))</f>
        <v/>
      </c>
      <c r="L26" s="11">
        <f>IF(OR(G26="",H26="",I26="",J26=""),"No data",IF(AND(G26&lt;=22,MAX(H26:J26)&lt;=105,(H26*I26*J26)/1000000&lt;=0.25),"Yes","Too big"))</f>
        <v/>
      </c>
      <c r="M26" s="10" t="inlineStr">
        <is>
          <t>/product/drop-in-core-trainer-2</t>
        </is>
      </c>
    </row>
    <row r="27">
      <c r="A27" s="10" t="inlineStr">
        <is>
          <t>MBCTFS02</t>
        </is>
      </c>
      <c r="B27" s="10" t="inlineStr">
        <is>
          <t>Core Trainer (Landmine) With T Bar Handle</t>
        </is>
      </c>
      <c r="C27" s="10" t="inlineStr">
        <is>
          <t>Body Weight</t>
        </is>
      </c>
      <c r="D27" s="11" t="inlineStr">
        <is>
          <t>Yes</t>
        </is>
      </c>
      <c r="E27" s="11" t="inlineStr"/>
      <c r="F27" s="11" t="inlineStr">
        <is>
          <t>Yes</t>
        </is>
      </c>
      <c r="G27" s="12" t="n">
        <v>17</v>
      </c>
      <c r="H27" s="12" t="n">
        <v>42</v>
      </c>
      <c r="I27" s="12" t="n">
        <v>17</v>
      </c>
      <c r="J27" s="12" t="n">
        <v>59</v>
      </c>
      <c r="K27" s="10">
        <f>TRIM(IF(F27="No","Features ","")&amp;IF(G27="","Weight ","")&amp;IF(OR(H27="",I27="",J27="")," Dimensions",""))</f>
        <v/>
      </c>
      <c r="L27" s="11">
        <f>IF(OR(G27="",H27="",I27="",J27=""),"No data",IF(AND(G27&lt;=22,MAX(H27:J27)&lt;=105,(H27*I27*J27)/1000000&lt;=0.25),"Yes","Too big"))</f>
        <v/>
      </c>
      <c r="M27" s="10" t="inlineStr">
        <is>
          <t>/product/core-trainer-landmine-with-t-bar-handle</t>
        </is>
      </c>
    </row>
    <row r="28">
      <c r="A28" s="10" t="inlineStr">
        <is>
          <t>MBCTMA01</t>
        </is>
      </c>
      <c r="B28" s="10" t="inlineStr">
        <is>
          <t>Abdominal Mat</t>
        </is>
      </c>
      <c r="C28" s="10" t="inlineStr">
        <is>
          <t>Body Weight</t>
        </is>
      </c>
      <c r="D28" s="11" t="inlineStr">
        <is>
          <t>Yes</t>
        </is>
      </c>
      <c r="E28" s="11" t="inlineStr"/>
      <c r="F28" s="11" t="inlineStr">
        <is>
          <t>Yes</t>
        </is>
      </c>
      <c r="G28" s="12" t="n">
        <v>1</v>
      </c>
      <c r="H28" s="12" t="n">
        <v>38</v>
      </c>
      <c r="I28" s="12" t="n">
        <v>30</v>
      </c>
      <c r="J28" s="12" t="n">
        <v>6</v>
      </c>
      <c r="K28" s="10">
        <f>TRIM(IF(F28="No","Features ","")&amp;IF(G28="","Weight ","")&amp;IF(OR(H28="",I28="",J28="")," Dimensions",""))</f>
        <v/>
      </c>
      <c r="L28" s="11">
        <f>IF(OR(G28="",H28="",I28="",J28=""),"No data",IF(AND(G28&lt;=22,MAX(H28:J28)&lt;=105,(H28*I28*J28)/1000000&lt;=0.25),"Yes","Too big"))</f>
        <v/>
      </c>
      <c r="M28" s="10" t="inlineStr">
        <is>
          <t>/product/abdominal-mat</t>
        </is>
      </c>
    </row>
    <row r="29">
      <c r="A29" s="10" t="inlineStr">
        <is>
          <t>MBCTWH01</t>
        </is>
      </c>
      <c r="B29" s="10" t="inlineStr">
        <is>
          <t>Abdominal Wheel</t>
        </is>
      </c>
      <c r="C29" s="10" t="inlineStr">
        <is>
          <t>Body Weight</t>
        </is>
      </c>
      <c r="D29" s="11" t="inlineStr">
        <is>
          <t>Yes</t>
        </is>
      </c>
      <c r="E29" s="11" t="inlineStr"/>
      <c r="F29" s="11" t="inlineStr">
        <is>
          <t>No</t>
        </is>
      </c>
      <c r="G29" s="12" t="n">
        <v>3</v>
      </c>
      <c r="H29" s="12" t="n">
        <v>26</v>
      </c>
      <c r="I29" s="12" t="n">
        <v>20</v>
      </c>
      <c r="J29" s="12" t="n">
        <v>9.5</v>
      </c>
      <c r="K29" s="10">
        <f>TRIM(IF(F29="No","Features ","")&amp;IF(G29="","Weight ","")&amp;IF(OR(H29="",I29="",J29="")," Dimensions",""))</f>
        <v/>
      </c>
      <c r="L29" s="11">
        <f>IF(OR(G29="",H29="",I29="",J29=""),"No data",IF(AND(G29&lt;=22,MAX(H29:J29)&lt;=105,(H29*I29*J29)/1000000&lt;=0.25),"Yes","Too big"))</f>
        <v/>
      </c>
      <c r="M29" s="10" t="inlineStr">
        <is>
          <t>/product/abdominal-wheel</t>
        </is>
      </c>
    </row>
    <row r="30">
      <c r="A30" s="10" t="inlineStr">
        <is>
          <t>MBEMMA01</t>
        </is>
      </c>
      <c r="B30" s="10" t="inlineStr">
        <is>
          <t>EVA Exercise Mat</t>
        </is>
      </c>
      <c r="C30" s="10" t="inlineStr">
        <is>
          <t>Body Weight</t>
        </is>
      </c>
      <c r="D30" s="11" t="inlineStr">
        <is>
          <t>Yes</t>
        </is>
      </c>
      <c r="E30" s="11" t="inlineStr"/>
      <c r="F30" s="11" t="inlineStr">
        <is>
          <t>No</t>
        </is>
      </c>
      <c r="G30" s="12" t="n">
        <v>3</v>
      </c>
      <c r="H30" s="12" t="n">
        <v>140</v>
      </c>
      <c r="I30" s="12" t="n">
        <v>62</v>
      </c>
      <c r="J30" s="12" t="n">
        <v>1.6</v>
      </c>
      <c r="K30" s="10">
        <f>TRIM(IF(F30="No","Features ","")&amp;IF(G30="","Weight ","")&amp;IF(OR(H30="",I30="",J30="")," Dimensions",""))</f>
        <v/>
      </c>
      <c r="L30" s="11">
        <f>IF(OR(G30="",H30="",I30="",J30=""),"No data",IF(AND(G30&lt;=22,MAX(H30:J30)&lt;=105,(H30*I30*J30)/1000000&lt;=0.25),"Yes","Too big"))</f>
        <v/>
      </c>
      <c r="M30" s="10" t="inlineStr">
        <is>
          <t>/product/eva-exercise-mat-2</t>
        </is>
      </c>
    </row>
    <row r="31">
      <c r="A31" s="10" t="inlineStr">
        <is>
          <t>MBGYRI01</t>
        </is>
      </c>
      <c r="B31" s="10" t="inlineStr">
        <is>
          <t>Gymnastic Rings (Wooden)</t>
        </is>
      </c>
      <c r="C31" s="10" t="inlineStr">
        <is>
          <t>Body Weight</t>
        </is>
      </c>
      <c r="D31" s="11" t="inlineStr">
        <is>
          <t>Yes</t>
        </is>
      </c>
      <c r="E31" s="11" t="inlineStr"/>
      <c r="F31" s="11" t="inlineStr">
        <is>
          <t>Yes</t>
        </is>
      </c>
      <c r="G31" s="12" t="n">
        <v>2</v>
      </c>
      <c r="H31" s="12" t="n">
        <v>26</v>
      </c>
      <c r="I31" s="12" t="n">
        <v>26</v>
      </c>
      <c r="J31" s="12" t="n">
        <v>7</v>
      </c>
      <c r="K31" s="10">
        <f>TRIM(IF(F31="No","Features ","")&amp;IF(G31="","Weight ","")&amp;IF(OR(H31="",I31="",J31="")," Dimensions",""))</f>
        <v/>
      </c>
      <c r="L31" s="11">
        <f>IF(OR(G31="",H31="",I31="",J31=""),"No data",IF(AND(G31&lt;=22,MAX(H31:J31)&lt;=105,(H31*I31*J31)/1000000&lt;=0.25),"Yes","Too big"))</f>
        <v/>
      </c>
      <c r="M31" s="10" t="inlineStr">
        <is>
          <t>/product/gymnastic-rings-wooden-2</t>
        </is>
      </c>
    </row>
    <row r="32">
      <c r="A32" s="10" t="inlineStr">
        <is>
          <t>MBGYSL01</t>
        </is>
      </c>
      <c r="B32" s="10" t="inlineStr">
        <is>
          <t>Parallettes - 275mm (Pair)</t>
        </is>
      </c>
      <c r="C32" s="10" t="inlineStr">
        <is>
          <t>Body Weight</t>
        </is>
      </c>
      <c r="D32" s="11" t="inlineStr">
        <is>
          <t>Yes</t>
        </is>
      </c>
      <c r="E32" s="11" t="inlineStr"/>
      <c r="F32" s="11" t="inlineStr">
        <is>
          <t>Yes</t>
        </is>
      </c>
      <c r="G32" s="12" t="n">
        <v>11</v>
      </c>
      <c r="H32" s="12" t="n">
        <v>50</v>
      </c>
      <c r="I32" s="12" t="n">
        <v>28.5</v>
      </c>
      <c r="J32" s="12" t="n">
        <v>35.5</v>
      </c>
      <c r="K32" s="10">
        <f>TRIM(IF(F32="No","Features ","")&amp;IF(G32="","Weight ","")&amp;IF(OR(H32="",I32="",J32="")," Dimensions",""))</f>
        <v/>
      </c>
      <c r="L32" s="11">
        <f>IF(OR(G32="",H32="",I32="",J32=""),"No data",IF(AND(G32&lt;=22,MAX(H32:J32)&lt;=105,(H32*I32*J32)/1000000&lt;=0.25),"Yes","Too big"))</f>
        <v/>
      </c>
      <c r="M32" s="10" t="inlineStr">
        <is>
          <t>/product/parallettes-275mm-pair</t>
        </is>
      </c>
    </row>
    <row r="33">
      <c r="A33" s="10" t="inlineStr">
        <is>
          <t>MBPB3I101</t>
        </is>
      </c>
      <c r="B33" s="10" t="inlineStr">
        <is>
          <t>3-In-1 Foam Plyometric Box - 34kg</t>
        </is>
      </c>
      <c r="C33" s="10" t="inlineStr">
        <is>
          <t>Body Weight</t>
        </is>
      </c>
      <c r="D33" s="11" t="inlineStr">
        <is>
          <t>Yes</t>
        </is>
      </c>
      <c r="E33" s="11" t="inlineStr"/>
      <c r="F33" s="11" t="inlineStr">
        <is>
          <t>No</t>
        </is>
      </c>
      <c r="G33" s="12" t="n">
        <v>35</v>
      </c>
      <c r="H33" s="12" t="n">
        <v>77</v>
      </c>
      <c r="I33" s="12" t="n">
        <v>52</v>
      </c>
      <c r="J33" s="12" t="n">
        <v>62</v>
      </c>
      <c r="K33" s="10">
        <f>TRIM(IF(F33="No","Features ","")&amp;IF(G33="","Weight ","")&amp;IF(OR(H33="",I33="",J33="")," Dimensions",""))</f>
        <v/>
      </c>
      <c r="L33" s="11">
        <f>IF(OR(G33="",H33="",I33="",J33=""),"No data",IF(AND(G33&lt;=22,MAX(H33:J33)&lt;=105,(H33*I33*J33)/1000000&lt;=0.25),"Yes","Too big"))</f>
        <v/>
      </c>
      <c r="M33" s="10" t="inlineStr">
        <is>
          <t>/product/3-in-1-foam-plyometric-box-34kg</t>
        </is>
      </c>
    </row>
    <row r="34">
      <c r="A34" s="10" t="inlineStr">
        <is>
          <t>MBPB3I102</t>
        </is>
      </c>
      <c r="B34" s="10" t="inlineStr">
        <is>
          <t>3-In-1 Wooden Plyometric Box</t>
        </is>
      </c>
      <c r="C34" s="10" t="inlineStr">
        <is>
          <t>Body Weight</t>
        </is>
      </c>
      <c r="D34" s="11" t="inlineStr">
        <is>
          <t>Yes</t>
        </is>
      </c>
      <c r="E34" s="11" t="inlineStr"/>
      <c r="F34" s="11" t="inlineStr">
        <is>
          <t>Yes</t>
        </is>
      </c>
      <c r="G34" s="12" t="n">
        <v>11</v>
      </c>
      <c r="H34" s="12" t="n">
        <v>77</v>
      </c>
      <c r="I34" s="12" t="n">
        <v>61</v>
      </c>
      <c r="J34" s="12" t="n">
        <v>15</v>
      </c>
      <c r="K34" s="10">
        <f>TRIM(IF(F34="No","Features ","")&amp;IF(G34="","Weight ","")&amp;IF(OR(H34="",I34="",J34="")," Dimensions",""))</f>
        <v/>
      </c>
      <c r="L34" s="11">
        <f>IF(OR(G34="",H34="",I34="",J34=""),"No data",IF(AND(G34&lt;=22,MAX(H34:J34)&lt;=105,(H34*I34*J34)/1000000&lt;=0.25),"Yes","Too big"))</f>
        <v/>
      </c>
      <c r="M34" s="10" t="inlineStr">
        <is>
          <t>/product/3-in-1-wooden-plyometric-box</t>
        </is>
      </c>
    </row>
    <row r="35">
      <c r="A35" s="10" t="inlineStr">
        <is>
          <t>MBPBMS01</t>
        </is>
      </c>
      <c r="B35" s="10" t="inlineStr">
        <is>
          <t>Plyometric Box (Set of 4)</t>
        </is>
      </c>
      <c r="C35" s="10" t="inlineStr">
        <is>
          <t>Body Weight</t>
        </is>
      </c>
      <c r="D35" s="11" t="inlineStr">
        <is>
          <t>Yes</t>
        </is>
      </c>
      <c r="E35" s="11" t="inlineStr"/>
      <c r="F35" s="11" t="inlineStr">
        <is>
          <t>No</t>
        </is>
      </c>
      <c r="G35" s="12" t="n">
        <v>38</v>
      </c>
      <c r="H35" s="12" t="n">
        <v>76</v>
      </c>
      <c r="I35" s="12" t="n">
        <v>43</v>
      </c>
      <c r="J35" s="12" t="n">
        <v>43</v>
      </c>
      <c r="K35" s="10">
        <f>TRIM(IF(F35="No","Features ","")&amp;IF(G35="","Weight ","")&amp;IF(OR(H35="",I35="",J35="")," Dimensions",""))</f>
        <v/>
      </c>
      <c r="L35" s="11">
        <f>IF(OR(G35="",H35="",I35="",J35=""),"No data",IF(AND(G35&lt;=22,MAX(H35:J35)&lt;=105,(H35*I35*J35)/1000000&lt;=0.25),"Yes","Too big"))</f>
        <v/>
      </c>
      <c r="M35" s="10" t="inlineStr">
        <is>
          <t>/product/plyometric-box-set-of-4</t>
        </is>
      </c>
    </row>
    <row r="36">
      <c r="A36" s="10" t="inlineStr">
        <is>
          <t>MBRMRL</t>
        </is>
      </c>
      <c r="B36" s="10" t="inlineStr">
        <is>
          <t>Foam Roller</t>
        </is>
      </c>
      <c r="C36" s="10" t="inlineStr">
        <is>
          <t>Body Weight</t>
        </is>
      </c>
      <c r="D36" s="11" t="inlineStr">
        <is>
          <t>Yes</t>
        </is>
      </c>
      <c r="E36" s="11" t="inlineStr"/>
      <c r="F36" s="11" t="inlineStr">
        <is>
          <t>Yes</t>
        </is>
      </c>
      <c r="G36" s="12" t="n">
        <v>4</v>
      </c>
      <c r="H36" s="12" t="n">
        <v>46</v>
      </c>
      <c r="I36" s="12" t="n">
        <v>16</v>
      </c>
      <c r="J36" s="12" t="n">
        <v>16</v>
      </c>
      <c r="K36" s="10">
        <f>TRIM(IF(F36="No","Features ","")&amp;IF(G36="","Weight ","")&amp;IF(OR(H36="",I36="",J36="")," Dimensions",""))</f>
        <v/>
      </c>
      <c r="L36" s="11">
        <f>IF(OR(G36="",H36="",I36="",J36=""),"No data",IF(AND(G36&lt;=22,MAX(H36:J36)&lt;=105,(H36*I36*J36)/1000000&lt;=0.25),"Yes","Too big"))</f>
        <v/>
      </c>
      <c r="M36" s="10" t="inlineStr">
        <is>
          <t>/product/foam-roller-v</t>
        </is>
      </c>
    </row>
    <row r="37">
      <c r="A37" s="10" t="inlineStr">
        <is>
          <t>MBRMRL03</t>
        </is>
      </c>
      <c r="B37" s="10" t="inlineStr">
        <is>
          <t>Foam Roller - 33cm (TPT)</t>
        </is>
      </c>
      <c r="C37" s="10" t="inlineStr">
        <is>
          <t>Body Weight</t>
        </is>
      </c>
      <c r="D37" s="11" t="inlineStr">
        <is>
          <t>Yes</t>
        </is>
      </c>
      <c r="E37" s="11" t="inlineStr"/>
      <c r="F37" s="11" t="inlineStr">
        <is>
          <t>Yes</t>
        </is>
      </c>
      <c r="G37" s="12" t="n">
        <v>1</v>
      </c>
      <c r="H37" s="12" t="n">
        <v>33</v>
      </c>
      <c r="I37" s="12" t="n">
        <v>14</v>
      </c>
      <c r="J37" s="12" t="n">
        <v>14</v>
      </c>
      <c r="K37" s="10">
        <f>TRIM(IF(F37="No","Features ","")&amp;IF(G37="","Weight ","")&amp;IF(OR(H37="",I37="",J37="")," Dimensions",""))</f>
        <v/>
      </c>
      <c r="L37" s="11">
        <f>IF(OR(G37="",H37="",I37="",J37=""),"No data",IF(AND(G37&lt;=22,MAX(H37:J37)&lt;=105,(H37*I37*J37)/1000000&lt;=0.25),"Yes","Too big"))</f>
        <v/>
      </c>
      <c r="M37" s="10" t="inlineStr">
        <is>
          <t>/product/foam-roller-33cm-tpt</t>
        </is>
      </c>
    </row>
    <row r="38">
      <c r="A38" s="10" t="inlineStr">
        <is>
          <t>MBRPBA01</t>
        </is>
      </c>
      <c r="B38" s="10" t="inlineStr">
        <is>
          <t>Knitted Resistance Bands (Set of 3)</t>
        </is>
      </c>
      <c r="C38" s="10" t="inlineStr">
        <is>
          <t>Body Weight</t>
        </is>
      </c>
      <c r="D38" s="11" t="inlineStr">
        <is>
          <t>Yes</t>
        </is>
      </c>
      <c r="E38" s="11" t="inlineStr"/>
      <c r="F38" s="11" t="inlineStr">
        <is>
          <t>No</t>
        </is>
      </c>
      <c r="G38" s="12" t="n">
        <v>1</v>
      </c>
      <c r="H38" s="12" t="n">
        <v>34</v>
      </c>
      <c r="I38" s="12" t="n">
        <v>24</v>
      </c>
      <c r="J38" s="12" t="n">
        <v>2</v>
      </c>
      <c r="K38" s="10">
        <f>TRIM(IF(F38="No","Features ","")&amp;IF(G38="","Weight ","")&amp;IF(OR(H38="",I38="",J38="")," Dimensions",""))</f>
        <v/>
      </c>
      <c r="L38" s="11">
        <f>IF(OR(G38="",H38="",I38="",J38=""),"No data",IF(AND(G38&lt;=22,MAX(H38:J38)&lt;=105,(H38*I38*J38)/1000000&lt;=0.25),"Yes","Too big"))</f>
        <v/>
      </c>
      <c r="M38" s="10" t="inlineStr">
        <is>
          <t>/product/knitted-resistance-bands-set-of-3</t>
        </is>
      </c>
    </row>
    <row r="39">
      <c r="A39" s="10" t="inlineStr">
        <is>
          <t>MBRPMI01</t>
        </is>
      </c>
      <c r="B39" s="10" t="inlineStr">
        <is>
          <t>Micro Bands (Pack of 4)</t>
        </is>
      </c>
      <c r="C39" s="10" t="inlineStr">
        <is>
          <t>Body Weight</t>
        </is>
      </c>
      <c r="D39" s="11" t="inlineStr">
        <is>
          <t>Yes</t>
        </is>
      </c>
      <c r="E39" s="11" t="inlineStr"/>
      <c r="F39" s="11" t="inlineStr">
        <is>
          <t>No</t>
        </is>
      </c>
      <c r="G39" s="12" t="n">
        <v>1</v>
      </c>
      <c r="H39" s="12" t="n">
        <v>7.3</v>
      </c>
      <c r="I39" s="12" t="n">
        <v>3.2</v>
      </c>
      <c r="J39" s="12" t="n">
        <v>3.6</v>
      </c>
      <c r="K39" s="10">
        <f>TRIM(IF(F39="No","Features ","")&amp;IF(G39="","Weight ","")&amp;IF(OR(H39="",I39="",J39="")," Dimensions",""))</f>
        <v/>
      </c>
      <c r="L39" s="11">
        <f>IF(OR(G39="",H39="",I39="",J39=""),"No data",IF(AND(G39&lt;=22,MAX(H39:J39)&lt;=105,(H39*I39*J39)/1000000&lt;=0.25),"Yes","Too big"))</f>
        <v/>
      </c>
      <c r="M39" s="10" t="inlineStr">
        <is>
          <t>/product/micro-bands-pack-of-4</t>
        </is>
      </c>
    </row>
    <row r="40">
      <c r="A40" s="10" t="inlineStr">
        <is>
          <t>MBRPPO01</t>
        </is>
      </c>
      <c r="B40" s="10" t="inlineStr">
        <is>
          <t>Power Bands (Pack of 4)</t>
        </is>
      </c>
      <c r="C40" s="10" t="inlineStr">
        <is>
          <t>Body Weight</t>
        </is>
      </c>
      <c r="D40" s="11" t="inlineStr">
        <is>
          <t>Yes</t>
        </is>
      </c>
      <c r="E40" s="11" t="inlineStr"/>
      <c r="F40" s="11" t="inlineStr">
        <is>
          <t>Yes</t>
        </is>
      </c>
      <c r="G40" s="12" t="n">
        <v>2</v>
      </c>
      <c r="H40" s="12" t="n">
        <v>15</v>
      </c>
      <c r="I40" s="12" t="n">
        <v>36</v>
      </c>
      <c r="J40" s="12" t="n">
        <v>15</v>
      </c>
      <c r="K40" s="10">
        <f>TRIM(IF(F40="No","Features ","")&amp;IF(G40="","Weight ","")&amp;IF(OR(H40="",I40="",J40="")," Dimensions",""))</f>
        <v/>
      </c>
      <c r="L40" s="11">
        <f>IF(OR(G40="",H40="",I40="",J40=""),"No data",IF(AND(G40&lt;=22,MAX(H40:J40)&lt;=105,(H40*I40*J40)/1000000&lt;=0.25),"Yes","Too big"))</f>
        <v/>
      </c>
      <c r="M40" s="10" t="inlineStr">
        <is>
          <t>/product/power-bands-pack-of-4</t>
        </is>
      </c>
    </row>
    <row r="41">
      <c r="A41" s="10" t="inlineStr">
        <is>
          <t>MBRPPO02</t>
        </is>
      </c>
      <c r="B41" s="10" t="inlineStr">
        <is>
          <t>Power Bands (Pack of 8)</t>
        </is>
      </c>
      <c r="C41" s="10" t="inlineStr">
        <is>
          <t>Body Weight</t>
        </is>
      </c>
      <c r="D41" s="11" t="inlineStr">
        <is>
          <t>Yes</t>
        </is>
      </c>
      <c r="E41" s="11" t="inlineStr"/>
      <c r="F41" s="11" t="inlineStr">
        <is>
          <t>No</t>
        </is>
      </c>
      <c r="G41" s="12" t="n">
        <v>4</v>
      </c>
      <c r="H41" s="12" t="n">
        <v>40</v>
      </c>
      <c r="I41" s="12" t="n">
        <v>36</v>
      </c>
      <c r="J41" s="12" t="n">
        <v>30</v>
      </c>
      <c r="K41" s="10">
        <f>TRIM(IF(F41="No","Features ","")&amp;IF(G41="","Weight ","")&amp;IF(OR(H41="",I41="",J41="")," Dimensions",""))</f>
        <v/>
      </c>
      <c r="L41" s="11">
        <f>IF(OR(G41="",H41="",I41="",J41=""),"No data",IF(AND(G41&lt;=22,MAX(H41:J41)&lt;=105,(H41*I41*J41)/1000000&lt;=0.25),"Yes","Too big"))</f>
        <v/>
      </c>
      <c r="M41" s="10" t="inlineStr">
        <is>
          <t>/product/power-bands-pack-of-8</t>
        </is>
      </c>
    </row>
    <row r="42">
      <c r="A42" s="10" t="inlineStr">
        <is>
          <t>MBSADI01</t>
        </is>
      </c>
      <c r="B42" s="10" t="inlineStr">
        <is>
          <t>Mini Disc Cones (Set of 50)</t>
        </is>
      </c>
      <c r="C42" s="10" t="inlineStr">
        <is>
          <t>Body Weight</t>
        </is>
      </c>
      <c r="D42" s="11" t="inlineStr">
        <is>
          <t>Yes</t>
        </is>
      </c>
      <c r="E42" s="11" t="inlineStr"/>
      <c r="F42" s="11" t="inlineStr">
        <is>
          <t>Yes</t>
        </is>
      </c>
      <c r="G42" s="12" t="n">
        <v>2</v>
      </c>
      <c r="H42" s="12" t="n">
        <v>15</v>
      </c>
      <c r="I42" s="12" t="n">
        <v>15</v>
      </c>
      <c r="J42" s="12" t="n">
        <v>15</v>
      </c>
      <c r="K42" s="10">
        <f>TRIM(IF(F42="No","Features ","")&amp;IF(G42="","Weight ","")&amp;IF(OR(H42="",I42="",J42="")," Dimensions",""))</f>
        <v/>
      </c>
      <c r="L42" s="11">
        <f>IF(OR(G42="",H42="",I42="",J42=""),"No data",IF(AND(G42&lt;=22,MAX(H42:J42)&lt;=105,(H42*I42*J42)/1000000&lt;=0.25),"Yes","Too big"))</f>
        <v/>
      </c>
      <c r="M42" s="10" t="inlineStr">
        <is>
          <t>/product/mini-disc-cones-set-of-50</t>
        </is>
      </c>
    </row>
    <row r="43">
      <c r="A43" s="10" t="inlineStr">
        <is>
          <t>MBSADO02</t>
        </is>
      </c>
      <c r="B43" s="10" t="inlineStr">
        <is>
          <t>Station Markers (Set of 5)</t>
        </is>
      </c>
      <c r="C43" s="10" t="inlineStr">
        <is>
          <t>Body Weight</t>
        </is>
      </c>
      <c r="D43" s="11" t="inlineStr">
        <is>
          <t>Yes</t>
        </is>
      </c>
      <c r="E43" s="11" t="inlineStr"/>
      <c r="F43" s="11" t="inlineStr">
        <is>
          <t>No</t>
        </is>
      </c>
      <c r="G43" s="12" t="n">
        <v>1</v>
      </c>
      <c r="H43" s="12" t="n">
        <v>10</v>
      </c>
      <c r="I43" s="12" t="n">
        <v>10</v>
      </c>
      <c r="J43" s="12" t="n">
        <v>2</v>
      </c>
      <c r="K43" s="10">
        <f>TRIM(IF(F43="No","Features ","")&amp;IF(G43="","Weight ","")&amp;IF(OR(H43="",I43="",J43="")," Dimensions",""))</f>
        <v/>
      </c>
      <c r="L43" s="11">
        <f>IF(OR(G43="",H43="",I43="",J43=""),"No data",IF(AND(G43&lt;=22,MAX(H43:J43)&lt;=105,(H43*I43*J43)/1000000&lt;=0.25),"Yes","Too big"))</f>
        <v/>
      </c>
      <c r="M43" s="10" t="inlineStr">
        <is>
          <t>/product/station-markers-set-of-5</t>
        </is>
      </c>
    </row>
    <row r="44">
      <c r="A44" s="10" t="inlineStr">
        <is>
          <t>MBSAHD01</t>
        </is>
      </c>
      <c r="B44" s="10" t="inlineStr">
        <is>
          <t>Lateral Endurance Hurdles (Set of 4)</t>
        </is>
      </c>
      <c r="C44" s="10" t="inlineStr">
        <is>
          <t>Body Weight</t>
        </is>
      </c>
      <c r="D44" s="11" t="inlineStr">
        <is>
          <t>Yes</t>
        </is>
      </c>
      <c r="E44" s="11" t="inlineStr"/>
      <c r="F44" s="11" t="inlineStr">
        <is>
          <t>No</t>
        </is>
      </c>
      <c r="G44" s="12" t="n">
        <v>21</v>
      </c>
      <c r="H44" s="12" t="n">
        <v>63</v>
      </c>
      <c r="I44" s="12" t="n">
        <v>53</v>
      </c>
      <c r="J44" s="12" t="n">
        <v>35</v>
      </c>
      <c r="K44" s="10">
        <f>TRIM(IF(F44="No","Features ","")&amp;IF(G44="","Weight ","")&amp;IF(OR(H44="",I44="",J44="")," Dimensions",""))</f>
        <v/>
      </c>
      <c r="L44" s="11">
        <f>IF(OR(G44="",H44="",I44="",J44=""),"No data",IF(AND(G44&lt;=22,MAX(H44:J44)&lt;=105,(H44*I44*J44)/1000000&lt;=0.25),"Yes","Too big"))</f>
        <v/>
      </c>
      <c r="M44" s="10" t="inlineStr">
        <is>
          <t>/product/lateral-endurance-hurdles-set-of-4</t>
        </is>
      </c>
    </row>
    <row r="45">
      <c r="A45" s="10" t="inlineStr">
        <is>
          <t>MBSALD01</t>
        </is>
      </c>
      <c r="B45" s="10" t="inlineStr">
        <is>
          <t>Rubber Rollout Speed Ladder - 5m</t>
        </is>
      </c>
      <c r="C45" s="10" t="inlineStr">
        <is>
          <t>Body Weight</t>
        </is>
      </c>
      <c r="D45" s="11" t="inlineStr">
        <is>
          <t>Yes</t>
        </is>
      </c>
      <c r="E45" s="11" t="inlineStr"/>
      <c r="F45" s="11" t="inlineStr">
        <is>
          <t>Yes</t>
        </is>
      </c>
      <c r="G45" s="12" t="n">
        <v>9</v>
      </c>
      <c r="H45" s="12" t="n">
        <v>43</v>
      </c>
      <c r="I45" s="12" t="n">
        <v>19</v>
      </c>
      <c r="J45" s="12" t="n">
        <v>19</v>
      </c>
      <c r="K45" s="10">
        <f>TRIM(IF(F45="No","Features ","")&amp;IF(G45="","Weight ","")&amp;IF(OR(H45="",I45="",J45="")," Dimensions",""))</f>
        <v/>
      </c>
      <c r="L45" s="11">
        <f>IF(OR(G45="",H45="",I45="",J45=""),"No data",IF(AND(G45&lt;=22,MAX(H45:J45)&lt;=105,(H45*I45*J45)/1000000&lt;=0.25),"Yes","Too big"))</f>
        <v/>
      </c>
      <c r="M45" s="10" t="inlineStr">
        <is>
          <t>/product/rubber-rollout-speed-ladder-5m</t>
        </is>
      </c>
    </row>
    <row r="46">
      <c r="A46" s="10" t="inlineStr">
        <is>
          <t>MBSARO01</t>
        </is>
      </c>
      <c r="B46" s="10" t="inlineStr">
        <is>
          <t>Speed Rope (Elite)</t>
        </is>
      </c>
      <c r="C46" s="10" t="inlineStr">
        <is>
          <t>Body Weight</t>
        </is>
      </c>
      <c r="D46" s="11" t="inlineStr">
        <is>
          <t>Yes</t>
        </is>
      </c>
      <c r="E46" s="11" t="inlineStr"/>
      <c r="F46" s="11" t="inlineStr">
        <is>
          <t>No</t>
        </is>
      </c>
      <c r="G46" s="12" t="n">
        <v>2</v>
      </c>
      <c r="H46" s="12" t="n">
        <v>10</v>
      </c>
      <c r="I46" s="12" t="n">
        <v>10</v>
      </c>
      <c r="J46" s="12" t="n">
        <v>3</v>
      </c>
      <c r="K46" s="10">
        <f>TRIM(IF(F46="No","Features ","")&amp;IF(G46="","Weight ","")&amp;IF(OR(H46="",I46="",J46="")," Dimensions",""))</f>
        <v/>
      </c>
      <c r="L46" s="11">
        <f>IF(OR(G46="",H46="",I46="",J46=""),"No data",IF(AND(G46&lt;=22,MAX(H46:J46)&lt;=105,(H46*I46*J46)/1000000&lt;=0.25),"Yes","Too big"))</f>
        <v/>
      </c>
      <c r="M46" s="10" t="inlineStr">
        <is>
          <t>/product/speed-rope-elite</t>
        </is>
      </c>
    </row>
    <row r="47">
      <c r="A47" s="10" t="inlineStr">
        <is>
          <t>MBSUTR01</t>
        </is>
      </c>
      <c r="B47" s="10" t="inlineStr">
        <is>
          <t>Suspension Trainer</t>
        </is>
      </c>
      <c r="C47" s="10" t="inlineStr">
        <is>
          <t>Body Weight</t>
        </is>
      </c>
      <c r="D47" s="11" t="inlineStr">
        <is>
          <t>Yes</t>
        </is>
      </c>
      <c r="E47" s="11" t="inlineStr"/>
      <c r="F47" s="11" t="inlineStr">
        <is>
          <t>No</t>
        </is>
      </c>
      <c r="G47" s="12" t="n">
        <v>6</v>
      </c>
      <c r="H47" s="12" t="n">
        <v>23</v>
      </c>
      <c r="I47" s="12" t="n">
        <v>23</v>
      </c>
      <c r="J47" s="12" t="n">
        <v>9</v>
      </c>
      <c r="K47" s="10">
        <f>TRIM(IF(F47="No","Features ","")&amp;IF(G47="","Weight ","")&amp;IF(OR(H47="",I47="",J47="")," Dimensions",""))</f>
        <v/>
      </c>
      <c r="L47" s="11">
        <f>IF(OR(G47="",H47="",I47="",J47=""),"No data",IF(AND(G47&lt;=22,MAX(H47:J47)&lt;=105,(H47*I47*J47)/1000000&lt;=0.25),"Yes","Too big"))</f>
        <v/>
      </c>
      <c r="M47" s="10" t="inlineStr">
        <is>
          <t>/product/suspension-trainer-2</t>
        </is>
      </c>
    </row>
    <row r="48">
      <c r="A48" s="10" t="inlineStr">
        <is>
          <t>MCBIAR01</t>
        </is>
      </c>
      <c r="B48" s="10" t="inlineStr">
        <is>
          <t>Air Bike Classic</t>
        </is>
      </c>
      <c r="C48" s="10" t="inlineStr">
        <is>
          <t>Cardio</t>
        </is>
      </c>
      <c r="D48" s="11" t="inlineStr">
        <is>
          <t>Yes</t>
        </is>
      </c>
      <c r="E48" s="11" t="inlineStr"/>
      <c r="F48" s="11" t="inlineStr">
        <is>
          <t>Yes</t>
        </is>
      </c>
      <c r="G48" s="12" t="n">
        <v>52</v>
      </c>
      <c r="H48" s="12" t="n">
        <v>127</v>
      </c>
      <c r="I48" s="12" t="n">
        <v>28</v>
      </c>
      <c r="J48" s="12" t="n">
        <v>89</v>
      </c>
      <c r="K48" s="10">
        <f>TRIM(IF(F48="No","Features ","")&amp;IF(G48="","Weight ","")&amp;IF(OR(H48="",I48="",J48="")," Dimensions",""))</f>
        <v/>
      </c>
      <c r="L48" s="11">
        <f>IF(OR(G48="",H48="",I48="",J48=""),"No data",IF(AND(G48&lt;=22,MAX(H48:J48)&lt;=105,(H48*I48*J48)/1000000&lt;=0.25),"Yes","Too big"))</f>
        <v/>
      </c>
      <c r="M48" s="10" t="inlineStr">
        <is>
          <t>/product/air-bike-classic</t>
        </is>
      </c>
    </row>
    <row r="49">
      <c r="A49" s="10" t="inlineStr">
        <is>
          <t>MCBIAR02</t>
        </is>
      </c>
      <c r="B49" s="10" t="inlineStr">
        <is>
          <t>Air Bike Pro</t>
        </is>
      </c>
      <c r="C49" s="10" t="inlineStr">
        <is>
          <t>Cardio</t>
        </is>
      </c>
      <c r="D49" s="11" t="inlineStr">
        <is>
          <t>Yes</t>
        </is>
      </c>
      <c r="E49" s="11" t="inlineStr"/>
      <c r="F49" s="11" t="inlineStr">
        <is>
          <t>Yes</t>
        </is>
      </c>
      <c r="G49" s="12" t="n">
        <v>54</v>
      </c>
      <c r="H49" s="12" t="n">
        <v>145</v>
      </c>
      <c r="I49" s="12" t="n">
        <v>39</v>
      </c>
      <c r="J49" s="12" t="n">
        <v>96</v>
      </c>
      <c r="K49" s="10">
        <f>TRIM(IF(F49="No","Features ","")&amp;IF(G49="","Weight ","")&amp;IF(OR(H49="",I49="",J49="")," Dimensions",""))</f>
        <v/>
      </c>
      <c r="L49" s="11">
        <f>IF(OR(G49="",H49="",I49="",J49=""),"No data",IF(AND(G49&lt;=22,MAX(H49:J49)&lt;=105,(H49*I49*J49)/1000000&lt;=0.25),"Yes","Too big"))</f>
        <v/>
      </c>
      <c r="M49" s="10" t="inlineStr">
        <is>
          <t>/product/air-bike-pro</t>
        </is>
      </c>
    </row>
    <row r="50">
      <c r="A50" s="10" t="inlineStr">
        <is>
          <t>MCBIAR03</t>
        </is>
      </c>
      <c r="B50" s="10" t="inlineStr">
        <is>
          <t>Air Bike Elite</t>
        </is>
      </c>
      <c r="C50" s="10" t="inlineStr">
        <is>
          <t>Cardio</t>
        </is>
      </c>
      <c r="D50" s="11" t="inlineStr">
        <is>
          <t>Yes</t>
        </is>
      </c>
      <c r="E50" s="11" t="inlineStr"/>
      <c r="F50" s="11" t="inlineStr">
        <is>
          <t>Yes</t>
        </is>
      </c>
      <c r="G50" s="12" t="n">
        <v>89</v>
      </c>
      <c r="H50" s="12" t="n">
        <v>127</v>
      </c>
      <c r="I50" s="12" t="n">
        <v>46</v>
      </c>
      <c r="J50" s="12" t="n">
        <v>89</v>
      </c>
      <c r="K50" s="10">
        <f>TRIM(IF(F50="No","Features ","")&amp;IF(G50="","Weight ","")&amp;IF(OR(H50="",I50="",J50="")," Dimensions",""))</f>
        <v/>
      </c>
      <c r="L50" s="11">
        <f>IF(OR(G50="",H50="",I50="",J50=""),"No data",IF(AND(G50&lt;=22,MAX(H50:J50)&lt;=105,(H50*I50*J50)/1000000&lt;=0.25),"Yes","Too big"))</f>
        <v/>
      </c>
      <c r="M50" s="10" t="inlineStr">
        <is>
          <t>/product/air-bike-elite</t>
        </is>
      </c>
    </row>
    <row r="51">
      <c r="A51" s="10" t="inlineStr">
        <is>
          <t>MCBIAR04</t>
        </is>
      </c>
      <c r="B51" s="10" t="inlineStr">
        <is>
          <t>Air Cycle Pro</t>
        </is>
      </c>
      <c r="C51" s="10" t="inlineStr">
        <is>
          <t>Cardio</t>
        </is>
      </c>
      <c r="D51" s="11" t="inlineStr">
        <is>
          <t>Yes</t>
        </is>
      </c>
      <c r="E51" s="11" t="inlineStr"/>
      <c r="F51" s="11" t="inlineStr">
        <is>
          <t>Yes</t>
        </is>
      </c>
      <c r="G51" s="12" t="n">
        <v>66</v>
      </c>
      <c r="H51" s="12" t="n">
        <v>137</v>
      </c>
      <c r="I51" s="12" t="n">
        <v>42</v>
      </c>
      <c r="J51" s="12" t="n">
        <v>110</v>
      </c>
      <c r="K51" s="10">
        <f>TRIM(IF(F51="No","Features ","")&amp;IF(G51="","Weight ","")&amp;IF(OR(H51="",I51="",J51="")," Dimensions",""))</f>
        <v/>
      </c>
      <c r="L51" s="11">
        <f>IF(OR(G51="",H51="",I51="",J51=""),"No data",IF(AND(G51&lt;=22,MAX(H51:J51)&lt;=105,(H51*I51*J51)/1000000&lt;=0.25),"Yes","Too big"))</f>
        <v/>
      </c>
      <c r="M51" s="10" t="inlineStr">
        <is>
          <t>/product/air-cycle-pro</t>
        </is>
      </c>
    </row>
    <row r="52">
      <c r="A52" s="10" t="inlineStr">
        <is>
          <t>MCBIAR05</t>
        </is>
      </c>
      <c r="B52" s="10" t="inlineStr">
        <is>
          <t>Air Cycle Elite</t>
        </is>
      </c>
      <c r="C52" s="10" t="inlineStr">
        <is>
          <t>Cardio</t>
        </is>
      </c>
      <c r="D52" s="11" t="inlineStr">
        <is>
          <t>Yes</t>
        </is>
      </c>
      <c r="E52" s="11" t="inlineStr"/>
      <c r="F52" s="11" t="inlineStr">
        <is>
          <t>No</t>
        </is>
      </c>
      <c r="G52" s="12" t="n">
        <v>66</v>
      </c>
      <c r="H52" s="12" t="n">
        <v>137</v>
      </c>
      <c r="I52" s="12" t="n">
        <v>42</v>
      </c>
      <c r="J52" s="12" t="n">
        <v>110</v>
      </c>
      <c r="K52" s="10">
        <f>TRIM(IF(F52="No","Features ","")&amp;IF(G52="","Weight ","")&amp;IF(OR(H52="",I52="",J52="")," Dimensions",""))</f>
        <v/>
      </c>
      <c r="L52" s="11">
        <f>IF(OR(G52="",H52="",I52="",J52=""),"No data",IF(AND(G52&lt;=22,MAX(H52:J52)&lt;=105,(H52*I52*J52)/1000000&lt;=0.25),"Yes","Too big"))</f>
        <v/>
      </c>
      <c r="M52" s="10" t="inlineStr">
        <is>
          <t>/product/air-cycle-elite</t>
        </is>
      </c>
    </row>
    <row r="53">
      <c r="A53" s="10" t="inlineStr">
        <is>
          <t>MCRWAR01</t>
        </is>
      </c>
      <c r="B53" s="10" t="inlineStr">
        <is>
          <t>Air Rower Pro</t>
        </is>
      </c>
      <c r="C53" s="10" t="inlineStr">
        <is>
          <t>Cardio</t>
        </is>
      </c>
      <c r="D53" s="11" t="inlineStr">
        <is>
          <t>Yes</t>
        </is>
      </c>
      <c r="E53" s="11" t="inlineStr"/>
      <c r="F53" s="11" t="inlineStr">
        <is>
          <t>No</t>
        </is>
      </c>
      <c r="G53" s="12" t="n">
        <v>51</v>
      </c>
      <c r="H53" s="12" t="n">
        <v>146</v>
      </c>
      <c r="I53" s="12" t="n">
        <v>66</v>
      </c>
      <c r="J53" s="12" t="n">
        <v>38</v>
      </c>
      <c r="K53" s="10">
        <f>TRIM(IF(F53="No","Features ","")&amp;IF(G53="","Weight ","")&amp;IF(OR(H53="",I53="",J53="")," Dimensions",""))</f>
        <v/>
      </c>
      <c r="L53" s="11">
        <f>IF(OR(G53="",H53="",I53="",J53=""),"No data",IF(AND(G53&lt;=22,MAX(H53:J53)&lt;=105,(H53*I53*J53)/1000000&lt;=0.25),"Yes","Too big"))</f>
        <v/>
      </c>
      <c r="M53" s="10" t="inlineStr">
        <is>
          <t>/product/air-rower-pro</t>
        </is>
      </c>
    </row>
    <row r="54">
      <c r="A54" s="10" t="inlineStr">
        <is>
          <t>MCRWAR03</t>
        </is>
      </c>
      <c r="B54" s="10" t="inlineStr">
        <is>
          <t>Air Rower Elite</t>
        </is>
      </c>
      <c r="C54" s="10" t="inlineStr">
        <is>
          <t>Cardio</t>
        </is>
      </c>
      <c r="D54" s="11" t="inlineStr">
        <is>
          <t>Yes</t>
        </is>
      </c>
      <c r="E54" s="11" t="inlineStr"/>
      <c r="F54" s="11" t="inlineStr">
        <is>
          <t>Yes</t>
        </is>
      </c>
      <c r="G54" s="12" t="n">
        <v>51</v>
      </c>
      <c r="H54" s="12" t="n">
        <v>146</v>
      </c>
      <c r="I54" s="12" t="n">
        <v>66</v>
      </c>
      <c r="J54" s="12" t="n">
        <v>38</v>
      </c>
      <c r="K54" s="10">
        <f>TRIM(IF(F54="No","Features ","")&amp;IF(G54="","Weight ","")&amp;IF(OR(H54="",I54="",J54="")," Dimensions",""))</f>
        <v/>
      </c>
      <c r="L54" s="11">
        <f>IF(OR(G54="",H54="",I54="",J54=""),"No data",IF(AND(G54&lt;=22,MAX(H54:J54)&lt;=105,(H54*I54*J54)/1000000&lt;=0.25),"Yes","Too big"))</f>
        <v/>
      </c>
      <c r="M54" s="10" t="inlineStr">
        <is>
          <t>/product/air-rower-elite</t>
        </is>
      </c>
    </row>
    <row r="55">
      <c r="A55" s="10" t="inlineStr">
        <is>
          <t>MCSTACC01</t>
        </is>
      </c>
      <c r="B55" s="10" t="inlineStr">
        <is>
          <t>Ski Trainer Floor Stand</t>
        </is>
      </c>
      <c r="C55" s="10" t="inlineStr">
        <is>
          <t>Cardio</t>
        </is>
      </c>
      <c r="D55" s="11" t="inlineStr">
        <is>
          <t>Yes</t>
        </is>
      </c>
      <c r="E55" s="11" t="inlineStr"/>
      <c r="F55" s="11" t="inlineStr">
        <is>
          <t>Yes</t>
        </is>
      </c>
      <c r="G55" s="12" t="n"/>
      <c r="H55" s="12" t="n"/>
      <c r="I55" s="12" t="n"/>
      <c r="J55" s="12" t="n"/>
      <c r="K55" s="10">
        <f>TRIM(IF(F55="No","Features ","")&amp;IF(G55="","Weight ","")&amp;IF(OR(H55="",I55="",J55="")," Dimensions",""))</f>
        <v/>
      </c>
      <c r="L55" s="11">
        <f>IF(OR(G55="",H55="",I55="",J55=""),"No data",IF(AND(G55&lt;=22,MAX(H55:J55)&lt;=105,(H55*I55*J55)/1000000&lt;=0.25),"Yes","Too big"))</f>
        <v/>
      </c>
      <c r="M55" s="10" t="inlineStr">
        <is>
          <t>/product/ski-trainer-floor-stand-2</t>
        </is>
      </c>
    </row>
    <row r="56">
      <c r="A56" s="10" t="inlineStr">
        <is>
          <t>MCSTACC02</t>
        </is>
      </c>
      <c r="B56" s="10" t="inlineStr">
        <is>
          <t>Ski Trainer Wall Mount Bracket</t>
        </is>
      </c>
      <c r="C56" s="10" t="inlineStr">
        <is>
          <t>Cardio</t>
        </is>
      </c>
      <c r="D56" s="11" t="inlineStr">
        <is>
          <t>Yes</t>
        </is>
      </c>
      <c r="E56" s="11" t="inlineStr"/>
      <c r="F56" s="11" t="inlineStr">
        <is>
          <t>Yes</t>
        </is>
      </c>
      <c r="G56" s="12" t="n">
        <v>2</v>
      </c>
      <c r="H56" s="12" t="n">
        <v>25</v>
      </c>
      <c r="I56" s="12" t="n">
        <v>12.5</v>
      </c>
      <c r="J56" s="12" t="n">
        <v>5</v>
      </c>
      <c r="K56" s="10">
        <f>TRIM(IF(F56="No","Features ","")&amp;IF(G56="","Weight ","")&amp;IF(OR(H56="",I56="",J56="")," Dimensions",""))</f>
        <v/>
      </c>
      <c r="L56" s="11">
        <f>IF(OR(G56="",H56="",I56="",J56=""),"No data",IF(AND(G56&lt;=22,MAX(H56:J56)&lt;=105,(H56*I56*J56)/1000000&lt;=0.25),"Yes","Too big"))</f>
        <v/>
      </c>
      <c r="M56" s="10" t="inlineStr">
        <is>
          <t>/product/ski-trainer-wall-mount-bracket-2</t>
        </is>
      </c>
    </row>
    <row r="57">
      <c r="A57" s="10" t="inlineStr">
        <is>
          <t>MCSTAR01</t>
        </is>
      </c>
      <c r="B57" s="10" t="inlineStr">
        <is>
          <t>Ski Trainer Pro</t>
        </is>
      </c>
      <c r="C57" s="10" t="inlineStr">
        <is>
          <t>Cardio</t>
        </is>
      </c>
      <c r="D57" s="11" t="inlineStr">
        <is>
          <t>Yes</t>
        </is>
      </c>
      <c r="E57" s="11" t="inlineStr"/>
      <c r="F57" s="11" t="inlineStr">
        <is>
          <t>Yes</t>
        </is>
      </c>
      <c r="G57" s="12" t="n">
        <v>49</v>
      </c>
      <c r="H57" s="12" t="n">
        <v>118</v>
      </c>
      <c r="I57" s="12" t="n">
        <v>61</v>
      </c>
      <c r="J57" s="12" t="n">
        <v>47</v>
      </c>
      <c r="K57" s="10">
        <f>TRIM(IF(F57="No","Features ","")&amp;IF(G57="","Weight ","")&amp;IF(OR(H57="",I57="",J57="")," Dimensions",""))</f>
        <v/>
      </c>
      <c r="L57" s="11">
        <f>IF(OR(G57="",H57="",I57="",J57=""),"No data",IF(AND(G57&lt;=22,MAX(H57:J57)&lt;=105,(H57*I57*J57)/1000000&lt;=0.25),"Yes","Too big"))</f>
        <v/>
      </c>
      <c r="M57" s="10" t="inlineStr">
        <is>
          <t>/product/ski-trainer-pro</t>
        </is>
      </c>
    </row>
    <row r="58">
      <c r="A58" s="10" t="inlineStr">
        <is>
          <t>MCSTAR02</t>
        </is>
      </c>
      <c r="B58" s="10" t="inlineStr">
        <is>
          <t>Ski Trainer Elite</t>
        </is>
      </c>
      <c r="C58" s="10" t="inlineStr">
        <is>
          <t>Cardio</t>
        </is>
      </c>
      <c r="D58" s="11" t="inlineStr">
        <is>
          <t>Yes</t>
        </is>
      </c>
      <c r="E58" s="11" t="inlineStr"/>
      <c r="F58" s="11" t="inlineStr">
        <is>
          <t>Yes</t>
        </is>
      </c>
      <c r="G58" s="12" t="n">
        <v>53</v>
      </c>
      <c r="H58" s="12" t="n">
        <v>118</v>
      </c>
      <c r="I58" s="12" t="n">
        <v>61</v>
      </c>
      <c r="J58" s="12" t="n">
        <v>47</v>
      </c>
      <c r="K58" s="10">
        <f>TRIM(IF(F58="No","Features ","")&amp;IF(G58="","Weight ","")&amp;IF(OR(H58="",I58="",J58="")," Dimensions",""))</f>
        <v/>
      </c>
      <c r="L58" s="11">
        <f>IF(OR(G58="",H58="",I58="",J58=""),"No data",IF(AND(G58&lt;=22,MAX(H58:J58)&lt;=105,(H58*I58*J58)/1000000&lt;=0.25),"Yes","Too big"))</f>
        <v/>
      </c>
      <c r="M58" s="10" t="inlineStr">
        <is>
          <t>/product/ski-trainer-elite</t>
        </is>
      </c>
    </row>
    <row r="59">
      <c r="A59" s="10" t="inlineStr">
        <is>
          <t>MCTMSP01</t>
        </is>
      </c>
      <c r="B59" s="10" t="inlineStr">
        <is>
          <t>Curved Treadmill Pro</t>
        </is>
      </c>
      <c r="C59" s="10" t="inlineStr">
        <is>
          <t>Cardio</t>
        </is>
      </c>
      <c r="D59" s="11" t="inlineStr">
        <is>
          <t>Yes</t>
        </is>
      </c>
      <c r="E59" s="11" t="inlineStr"/>
      <c r="F59" s="11" t="inlineStr">
        <is>
          <t>Yes</t>
        </is>
      </c>
      <c r="G59" s="12" t="n">
        <v>180</v>
      </c>
      <c r="H59" s="12" t="n">
        <v>185</v>
      </c>
      <c r="I59" s="12" t="n">
        <v>91</v>
      </c>
      <c r="J59" s="12" t="n">
        <v>56</v>
      </c>
      <c r="K59" s="10">
        <f>TRIM(IF(F59="No","Features ","")&amp;IF(G59="","Weight ","")&amp;IF(OR(H59="",I59="",J59="")," Dimensions",""))</f>
        <v/>
      </c>
      <c r="L59" s="11">
        <f>IF(OR(G59="",H59="",I59="",J59=""),"No data",IF(AND(G59&lt;=22,MAX(H59:J59)&lt;=105,(H59*I59*J59)/1000000&lt;=0.25),"Yes","Too big"))</f>
        <v/>
      </c>
      <c r="M59" s="10" t="inlineStr">
        <is>
          <t>/product/curved-treadmill-pro</t>
        </is>
      </c>
    </row>
    <row r="60">
      <c r="A60" s="10" t="inlineStr">
        <is>
          <t>MCTMSP02</t>
        </is>
      </c>
      <c r="B60" s="10" t="inlineStr">
        <is>
          <t>Curved Treadmill Elite</t>
        </is>
      </c>
      <c r="C60" s="10" t="inlineStr">
        <is>
          <t>Cardio</t>
        </is>
      </c>
      <c r="D60" s="11" t="inlineStr">
        <is>
          <t>Yes</t>
        </is>
      </c>
      <c r="E60" s="11" t="inlineStr"/>
      <c r="F60" s="11" t="inlineStr">
        <is>
          <t>Yes</t>
        </is>
      </c>
      <c r="G60" s="12" t="n">
        <v>601</v>
      </c>
      <c r="H60" s="12" t="n">
        <v>185</v>
      </c>
      <c r="I60" s="12" t="n">
        <v>91</v>
      </c>
      <c r="J60" s="12" t="n">
        <v>56</v>
      </c>
      <c r="K60" s="10">
        <f>TRIM(IF(F60="No","Features ","")&amp;IF(G60="","Weight ","")&amp;IF(OR(H60="",I60="",J60="")," Dimensions",""))</f>
        <v/>
      </c>
      <c r="L60" s="11">
        <f>IF(OR(G60="",H60="",I60="",J60=""),"No data",IF(AND(G60&lt;=22,MAX(H60:J60)&lt;=105,(H60*I60*J60)/1000000&lt;=0.25),"Yes","Too big"))</f>
        <v/>
      </c>
      <c r="M60" s="10" t="inlineStr">
        <is>
          <t>/product/curved-treadmill-elite-2</t>
        </is>
      </c>
    </row>
    <row r="61">
      <c r="A61" s="10" t="inlineStr">
        <is>
          <t>SCSTACC04</t>
        </is>
      </c>
      <c r="B61" s="10" t="inlineStr">
        <is>
          <t>C2 Ski Erg Floor Stand</t>
        </is>
      </c>
      <c r="C61" s="10" t="inlineStr">
        <is>
          <t>Cardio</t>
        </is>
      </c>
      <c r="D61" s="11" t="inlineStr">
        <is>
          <t>Yes</t>
        </is>
      </c>
      <c r="E61" s="11" t="inlineStr"/>
      <c r="F61" s="11" t="inlineStr">
        <is>
          <t>Yes</t>
        </is>
      </c>
      <c r="G61" s="12" t="n">
        <v>17</v>
      </c>
      <c r="H61" s="12" t="n">
        <v>1350</v>
      </c>
      <c r="I61" s="12" t="n">
        <v>660</v>
      </c>
      <c r="J61" s="12" t="n"/>
      <c r="K61" s="10">
        <f>TRIM(IF(F61="No","Features ","")&amp;IF(G61="","Weight ","")&amp;IF(OR(H61="",I61="",J61="")," Dimensions",""))</f>
        <v/>
      </c>
      <c r="L61" s="11">
        <f>IF(OR(G61="",H61="",I61="",J61=""),"No data",IF(AND(G61&lt;=22,MAX(H61:J61)&lt;=105,(H61*I61*J61)/1000000&lt;=0.25),"Yes","Too big"))</f>
        <v/>
      </c>
      <c r="M61" s="10" t="inlineStr">
        <is>
          <t>/product/c2-ski-erg-floor-stand</t>
        </is>
      </c>
    </row>
    <row r="62">
      <c r="A62" s="10" t="inlineStr">
        <is>
          <t>SCSTAR03</t>
        </is>
      </c>
      <c r="B62" s="10" t="inlineStr">
        <is>
          <t>C2 Ski Erg PM5</t>
        </is>
      </c>
      <c r="C62" s="10" t="inlineStr">
        <is>
          <t>Cardio</t>
        </is>
      </c>
      <c r="D62" s="11" t="inlineStr">
        <is>
          <t>Yes</t>
        </is>
      </c>
      <c r="E62" s="11" t="inlineStr"/>
      <c r="F62" s="11" t="inlineStr">
        <is>
          <t>Yes</t>
        </is>
      </c>
      <c r="G62" s="12" t="n">
        <v>27.5</v>
      </c>
      <c r="H62" s="12" t="n">
        <v>600</v>
      </c>
      <c r="I62" s="12" t="n">
        <v>1270</v>
      </c>
      <c r="J62" s="12" t="n"/>
      <c r="K62" s="10">
        <f>TRIM(IF(F62="No","Features ","")&amp;IF(G62="","Weight ","")&amp;IF(OR(H62="",I62="",J62="")," Dimensions",""))</f>
        <v/>
      </c>
      <c r="L62" s="11">
        <f>IF(OR(G62="",H62="",I62="",J62=""),"No data",IF(AND(G62&lt;=22,MAX(H62:J62)&lt;=105,(H62*I62*J62)/1000000&lt;=0.25),"Yes","Too big"))</f>
        <v/>
      </c>
      <c r="M62" s="10" t="inlineStr">
        <is>
          <t>/product/c2-ski-erg-pm5</t>
        </is>
      </c>
    </row>
    <row r="63">
      <c r="A63" s="10" t="inlineStr">
        <is>
          <t>ABRMRL03</t>
        </is>
      </c>
      <c r="B63" s="10" t="inlineStr">
        <is>
          <t>Foam Roller - 45cm (black)</t>
        </is>
      </c>
      <c r="C63" s="10" t="inlineStr">
        <is>
          <t>Clearance</t>
        </is>
      </c>
      <c r="D63" s="11" t="inlineStr">
        <is>
          <t>Yes</t>
        </is>
      </c>
      <c r="E63" s="11" t="inlineStr">
        <is>
          <t>Yes</t>
        </is>
      </c>
      <c r="F63" s="11" t="inlineStr">
        <is>
          <t>No</t>
        </is>
      </c>
      <c r="G63" s="12" t="n"/>
      <c r="H63" s="12" t="n"/>
      <c r="I63" s="12" t="n"/>
      <c r="J63" s="12" t="n"/>
      <c r="K63" s="10">
        <f>TRIM(IF(F63="No","Features ","")&amp;IF(G63="","Weight ","")&amp;IF(OR(H63="",I63="",J63="")," Dimensions",""))</f>
        <v/>
      </c>
      <c r="L63" s="11">
        <f>IF(OR(G63="",H63="",I63="",J63=""),"No data",IF(AND(G63&lt;=22,MAX(H63:J63)&lt;=105,(H63*I63*J63)/1000000&lt;=0.25),"Yes","Too big"))</f>
        <v/>
      </c>
      <c r="M63" s="10" t="inlineStr">
        <is>
          <t>/product/foam-roller-45cm-black</t>
        </is>
      </c>
    </row>
    <row r="64">
      <c r="A64" s="10" t="inlineStr">
        <is>
          <t>AEFRACC02</t>
        </is>
      </c>
      <c r="B64" s="10" t="inlineStr">
        <is>
          <t>Modular Storage Rack (Kettlebells, Dumbbells) - HD 2 Tier (1.2m)</t>
        </is>
      </c>
      <c r="C64" s="10" t="inlineStr">
        <is>
          <t>Equipment Storage</t>
        </is>
      </c>
      <c r="D64" s="11" t="inlineStr">
        <is>
          <t>Yes</t>
        </is>
      </c>
      <c r="E64" s="11" t="inlineStr">
        <is>
          <t>Yes</t>
        </is>
      </c>
      <c r="F64" s="11" t="inlineStr">
        <is>
          <t>No</t>
        </is>
      </c>
      <c r="G64" s="12" t="n">
        <v>95</v>
      </c>
      <c r="H64" s="12" t="n">
        <v>132</v>
      </c>
      <c r="I64" s="12" t="n">
        <v>40.4</v>
      </c>
      <c r="J64" s="12" t="n">
        <v>6</v>
      </c>
      <c r="K64" s="10">
        <f>TRIM(IF(F64="No","Features ","")&amp;IF(G64="","Weight ","")&amp;IF(OR(H64="",I64="",J64="")," Dimensions",""))</f>
        <v/>
      </c>
      <c r="L64" s="11">
        <f>IF(OR(G64="",H64="",I64="",J64=""),"No data",IF(AND(G64&lt;=22,MAX(H64:J64)&lt;=105,(H64*I64*J64)/1000000&lt;=0.25),"Yes","Too big"))</f>
        <v/>
      </c>
      <c r="M64" s="10" t="inlineStr">
        <is>
          <t>/product/modular-storage-rack-kettlebells-dumbbells-hd-2-tier-1-2m</t>
        </is>
      </c>
    </row>
    <row r="65">
      <c r="A65" s="10" t="inlineStr">
        <is>
          <t>AEFRBB01</t>
        </is>
      </c>
      <c r="B65" s="10" t="inlineStr">
        <is>
          <t>Barbell Storage Box (9 Bar Holder) - Versatile</t>
        </is>
      </c>
      <c r="C65" s="10" t="inlineStr">
        <is>
          <t>Equipment Storage</t>
        </is>
      </c>
      <c r="D65" s="11" t="inlineStr">
        <is>
          <t>Yes</t>
        </is>
      </c>
      <c r="E65" s="11" t="inlineStr">
        <is>
          <t>Yes</t>
        </is>
      </c>
      <c r="F65" s="11" t="inlineStr">
        <is>
          <t>No</t>
        </is>
      </c>
      <c r="G65" s="12" t="n">
        <v>27</v>
      </c>
      <c r="H65" s="12" t="n">
        <v>46</v>
      </c>
      <c r="I65" s="12" t="n">
        <v>46</v>
      </c>
      <c r="J65" s="12" t="n">
        <v>26</v>
      </c>
      <c r="K65" s="10">
        <f>TRIM(IF(F65="No","Features ","")&amp;IF(G65="","Weight ","")&amp;IF(OR(H65="",I65="",J65="")," Dimensions",""))</f>
        <v/>
      </c>
      <c r="L65" s="11">
        <f>IF(OR(G65="",H65="",I65="",J65=""),"No data",IF(AND(G65&lt;=22,MAX(H65:J65)&lt;=105,(H65*I65*J65)/1000000&lt;=0.25),"Yes","Too big"))</f>
        <v/>
      </c>
      <c r="M65" s="10" t="inlineStr">
        <is>
          <t>/product/barbell-storage-box-9-bar-holder-versatile-2</t>
        </is>
      </c>
    </row>
    <row r="66">
      <c r="A66" s="10" t="inlineStr">
        <is>
          <t>AEFRBL01</t>
        </is>
      </c>
      <c r="B66" s="10" t="inlineStr">
        <is>
          <t>Medicine Ball Rack - 10 Ball (Double Sided)</t>
        </is>
      </c>
      <c r="C66" s="10" t="inlineStr">
        <is>
          <t>Equipment Storage</t>
        </is>
      </c>
      <c r="D66" s="11" t="inlineStr">
        <is>
          <t>Yes</t>
        </is>
      </c>
      <c r="E66" s="11" t="inlineStr">
        <is>
          <t>Yes</t>
        </is>
      </c>
      <c r="F66" s="11" t="inlineStr">
        <is>
          <t>No</t>
        </is>
      </c>
      <c r="G66" s="12" t="n">
        <v>14</v>
      </c>
      <c r="H66" s="12" t="n">
        <v>153</v>
      </c>
      <c r="I66" s="12" t="n">
        <v>15</v>
      </c>
      <c r="J66" s="12" t="n">
        <v>15</v>
      </c>
      <c r="K66" s="10">
        <f>TRIM(IF(F66="No","Features ","")&amp;IF(G66="","Weight ","")&amp;IF(OR(H66="",I66="",J66="")," Dimensions",""))</f>
        <v/>
      </c>
      <c r="L66" s="11">
        <f>IF(OR(G66="",H66="",I66="",J66=""),"No data",IF(AND(G66&lt;=22,MAX(H66:J66)&lt;=105,(H66*I66*J66)/1000000&lt;=0.25),"Yes","Too big"))</f>
        <v/>
      </c>
      <c r="M66" s="10" t="inlineStr">
        <is>
          <t>/product/medicine-ball-rack-10-ball-double-sided</t>
        </is>
      </c>
    </row>
    <row r="67">
      <c r="A67" s="10" t="inlineStr">
        <is>
          <t>AEFRDB06</t>
        </is>
      </c>
      <c r="B67" s="10" t="inlineStr">
        <is>
          <t>Vertical Dumbbell Rack - Portable (Four Sided)</t>
        </is>
      </c>
      <c r="C67" s="10" t="inlineStr">
        <is>
          <t>Equipment Storage</t>
        </is>
      </c>
      <c r="D67" s="11" t="inlineStr">
        <is>
          <t>Yes</t>
        </is>
      </c>
      <c r="E67" s="11" t="inlineStr">
        <is>
          <t>Yes</t>
        </is>
      </c>
      <c r="F67" s="11" t="inlineStr">
        <is>
          <t>No</t>
        </is>
      </c>
      <c r="G67" s="12" t="n">
        <v>53</v>
      </c>
      <c r="H67" s="12" t="n">
        <v>115</v>
      </c>
      <c r="I67" s="12" t="n">
        <v>56</v>
      </c>
      <c r="J67" s="12" t="n">
        <v>25</v>
      </c>
      <c r="K67" s="10">
        <f>TRIM(IF(F67="No","Features ","")&amp;IF(G67="","Weight ","")&amp;IF(OR(H67="",I67="",J67="")," Dimensions",""))</f>
        <v/>
      </c>
      <c r="L67" s="11">
        <f>IF(OR(G67="",H67="",I67="",J67=""),"No data",IF(AND(G67&lt;=22,MAX(H67:J67)&lt;=105,(H67*I67*J67)/1000000&lt;=0.25),"Yes","Too big"))</f>
        <v/>
      </c>
      <c r="M67" s="10" t="inlineStr">
        <is>
          <t>/product/vertical-dumbbell-rack-portable-four-sided</t>
        </is>
      </c>
    </row>
    <row r="68">
      <c r="A68" s="10" t="inlineStr">
        <is>
          <t>AEWMACC02</t>
        </is>
      </c>
      <c r="B68" s="10" t="inlineStr">
        <is>
          <t>Rope &amp;amp; Band Rack (Wall Mounted)</t>
        </is>
      </c>
      <c r="C68" s="10" t="inlineStr">
        <is>
          <t>Equipment Storage</t>
        </is>
      </c>
      <c r="D68" s="11" t="inlineStr">
        <is>
          <t>Yes</t>
        </is>
      </c>
      <c r="E68" s="11" t="inlineStr">
        <is>
          <t>Yes</t>
        </is>
      </c>
      <c r="F68" s="11" t="inlineStr">
        <is>
          <t>No</t>
        </is>
      </c>
      <c r="G68" s="12" t="n">
        <v>4</v>
      </c>
      <c r="H68" s="12" t="n">
        <v>58</v>
      </c>
      <c r="I68" s="12" t="n">
        <v>11</v>
      </c>
      <c r="J68" s="12" t="n">
        <v>11</v>
      </c>
      <c r="K68" s="10">
        <f>TRIM(IF(F68="No","Features ","")&amp;IF(G68="","Weight ","")&amp;IF(OR(H68="",I68="",J68="")," Dimensions",""))</f>
        <v/>
      </c>
      <c r="L68" s="11">
        <f>IF(OR(G68="",H68="",I68="",J68=""),"No data",IF(AND(G68&lt;=22,MAX(H68:J68)&lt;=105,(H68*I68*J68)/1000000&lt;=0.25),"Yes","Too big"))</f>
        <v/>
      </c>
      <c r="M68" s="10" t="inlineStr">
        <is>
          <t>/product/rope-band-rack-wall-mounted-2</t>
        </is>
      </c>
    </row>
    <row r="69">
      <c r="A69" s="10" t="inlineStr">
        <is>
          <t>MEFRACC01</t>
        </is>
      </c>
      <c r="B69" s="10" t="inlineStr">
        <is>
          <t>Modular Storage Rack (Kettlebells, Dumbbells) - HD 2 Tier (1.2m)</t>
        </is>
      </c>
      <c r="C69" s="10" t="inlineStr">
        <is>
          <t>Equipment Storage</t>
        </is>
      </c>
      <c r="D69" s="11" t="inlineStr">
        <is>
          <t>Yes</t>
        </is>
      </c>
      <c r="E69" s="11" t="inlineStr"/>
      <c r="F69" s="11" t="inlineStr">
        <is>
          <t>No</t>
        </is>
      </c>
      <c r="G69" s="12" t="n">
        <v>95</v>
      </c>
      <c r="H69" s="12" t="n">
        <v>132</v>
      </c>
      <c r="I69" s="12" t="n">
        <v>40.4</v>
      </c>
      <c r="J69" s="12" t="n">
        <v>6</v>
      </c>
      <c r="K69" s="10">
        <f>TRIM(IF(F69="No","Features ","")&amp;IF(G69="","Weight ","")&amp;IF(OR(H69="",I69="",J69="")," Dimensions",""))</f>
        <v/>
      </c>
      <c r="L69" s="11">
        <f>IF(OR(G69="",H69="",I69="",J69=""),"No data",IF(AND(G69&lt;=22,MAX(H69:J69)&lt;=105,(H69*I69*J69)/1000000&lt;=0.25),"Yes","Too big"))</f>
        <v/>
      </c>
      <c r="M69" s="10" t="inlineStr">
        <is>
          <t>/product/modular-storage-rack-kettlebells-dumbbells-hd-2-tier-1-2m-2</t>
        </is>
      </c>
    </row>
    <row r="70">
      <c r="A70" s="10" t="inlineStr">
        <is>
          <t>MEFRACC02</t>
        </is>
      </c>
      <c r="B70" s="10" t="inlineStr">
        <is>
          <t>Modular Storage Rack (Kettlebells, Dumbbells) - HD 2 Tier (2m)</t>
        </is>
      </c>
      <c r="C70" s="10" t="inlineStr">
        <is>
          <t>Equipment Storage</t>
        </is>
      </c>
      <c r="D70" s="11" t="inlineStr">
        <is>
          <t>Yes</t>
        </is>
      </c>
      <c r="E70" s="11" t="inlineStr"/>
      <c r="F70" s="11" t="inlineStr">
        <is>
          <t>Yes</t>
        </is>
      </c>
      <c r="G70" s="12" t="n">
        <v>95</v>
      </c>
      <c r="H70" s="12" t="n">
        <v>212</v>
      </c>
      <c r="I70" s="12" t="n">
        <v>40.4</v>
      </c>
      <c r="J70" s="12" t="n">
        <v>6</v>
      </c>
      <c r="K70" s="10">
        <f>TRIM(IF(F70="No","Features ","")&amp;IF(G70="","Weight ","")&amp;IF(OR(H70="",I70="",J70="")," Dimensions",""))</f>
        <v/>
      </c>
      <c r="L70" s="11">
        <f>IF(OR(G70="",H70="",I70="",J70=""),"No data",IF(AND(G70&lt;=22,MAX(H70:J70)&lt;=105,(H70*I70*J70)/1000000&lt;=0.25),"Yes","Too big"))</f>
        <v/>
      </c>
      <c r="M70" s="10" t="inlineStr">
        <is>
          <t>/product/modular-storage-rack-kettlebells-dumbbells-hd-2-tier-2m</t>
        </is>
      </c>
    </row>
    <row r="71">
      <c r="A71" s="10" t="inlineStr">
        <is>
          <t>MEFRACC03</t>
        </is>
      </c>
      <c r="B71" s="10" t="inlineStr">
        <is>
          <t>Modular Storage Rack Flat Shelf</t>
        </is>
      </c>
      <c r="C71" s="10" t="inlineStr">
        <is>
          <t>Equipment Storage</t>
        </is>
      </c>
      <c r="D71" s="11" t="inlineStr">
        <is>
          <t>Yes</t>
        </is>
      </c>
      <c r="E71" s="11" t="inlineStr"/>
      <c r="F71" s="11" t="inlineStr">
        <is>
          <t>Yes</t>
        </is>
      </c>
      <c r="G71" s="12" t="n">
        <v>19</v>
      </c>
      <c r="H71" s="12" t="n">
        <v>160</v>
      </c>
      <c r="I71" s="12" t="n">
        <v>63</v>
      </c>
      <c r="J71" s="12" t="n">
        <v>6.5</v>
      </c>
      <c r="K71" s="10">
        <f>TRIM(IF(F71="No","Features ","")&amp;IF(G71="","Weight ","")&amp;IF(OR(H71="",I71="",J71="")," Dimensions",""))</f>
        <v/>
      </c>
      <c r="L71" s="11">
        <f>IF(OR(G71="",H71="",I71="",J71=""),"No data",IF(AND(G71&lt;=22,MAX(H71:J71)&lt;=105,(H71*I71*J71)/1000000&lt;=0.25),"Yes","Too big"))</f>
        <v/>
      </c>
      <c r="M71" s="10" t="inlineStr">
        <is>
          <t>/product/modular-storage-rack-flat-shelf-2</t>
        </is>
      </c>
    </row>
    <row r="72">
      <c r="A72" s="10" t="inlineStr">
        <is>
          <t>MEFRACC04</t>
        </is>
      </c>
      <c r="B72" s="10" t="inlineStr">
        <is>
          <t>Modular Storage Rack Shelf Dual Pipe</t>
        </is>
      </c>
      <c r="C72" s="10" t="inlineStr">
        <is>
          <t>Equipment Storage</t>
        </is>
      </c>
      <c r="D72" s="11" t="inlineStr">
        <is>
          <t>Yes</t>
        </is>
      </c>
      <c r="E72" s="11" t="inlineStr"/>
      <c r="F72" s="11" t="inlineStr">
        <is>
          <t>Yes</t>
        </is>
      </c>
      <c r="G72" s="12" t="n">
        <v>11</v>
      </c>
      <c r="H72" s="12" t="n">
        <v>151</v>
      </c>
      <c r="I72" s="12" t="n">
        <v>29.5</v>
      </c>
      <c r="J72" s="12" t="n">
        <v>6.5</v>
      </c>
      <c r="K72" s="10">
        <f>TRIM(IF(F72="No","Features ","")&amp;IF(G72="","Weight ","")&amp;IF(OR(H72="",I72="",J72="")," Dimensions",""))</f>
        <v/>
      </c>
      <c r="L72" s="11">
        <f>IF(OR(G72="",H72="",I72="",J72=""),"No data",IF(AND(G72&lt;=22,MAX(H72:J72)&lt;=105,(H72*I72*J72)/1000000&lt;=0.25),"Yes","Too big"))</f>
        <v/>
      </c>
      <c r="M72" s="10" t="inlineStr">
        <is>
          <t>/product/modular-storage-rack-shelf-dual-pipe-2</t>
        </is>
      </c>
    </row>
    <row r="73">
      <c r="A73" s="10" t="inlineStr">
        <is>
          <t>MEFRACC05</t>
        </is>
      </c>
      <c r="B73" s="10" t="inlineStr">
        <is>
          <t>Modular Storage Rack Side (1582mm)</t>
        </is>
      </c>
      <c r="C73" s="10" t="inlineStr">
        <is>
          <t>Equipment Storage</t>
        </is>
      </c>
      <c r="D73" s="11" t="inlineStr">
        <is>
          <t>Yes</t>
        </is>
      </c>
      <c r="E73" s="11" t="inlineStr"/>
      <c r="F73" s="11" t="inlineStr">
        <is>
          <t>Yes</t>
        </is>
      </c>
      <c r="G73" s="12" t="n">
        <v>20</v>
      </c>
      <c r="H73" s="12" t="n">
        <v>161</v>
      </c>
      <c r="I73" s="12" t="n">
        <v>63</v>
      </c>
      <c r="J73" s="12" t="n">
        <v>6.5</v>
      </c>
      <c r="K73" s="10">
        <f>TRIM(IF(F73="No","Features ","")&amp;IF(G73="","Weight ","")&amp;IF(OR(H73="",I73="",J73="")," Dimensions",""))</f>
        <v/>
      </c>
      <c r="L73" s="11">
        <f>IF(OR(G73="",H73="",I73="",J73=""),"No data",IF(AND(G73&lt;=22,MAX(H73:J73)&lt;=105,(H73*I73*J73)/1000000&lt;=0.25),"Yes","Too big"))</f>
        <v/>
      </c>
      <c r="M73" s="10" t="inlineStr">
        <is>
          <t>/product/modular-storage-rack-side-1582mm</t>
        </is>
      </c>
    </row>
    <row r="74">
      <c r="A74" s="10" t="inlineStr">
        <is>
          <t>MEFRACC06</t>
        </is>
      </c>
      <c r="B74" s="10" t="inlineStr">
        <is>
          <t>Modular Storage Rack - Complete (2/Dual Pipe, 2/Flat Shelf)</t>
        </is>
      </c>
      <c r="C74" s="10" t="inlineStr">
        <is>
          <t>Equipment Storage</t>
        </is>
      </c>
      <c r="D74" s="11" t="inlineStr">
        <is>
          <t>Yes</t>
        </is>
      </c>
      <c r="E74" s="11" t="inlineStr"/>
      <c r="F74" s="11" t="inlineStr">
        <is>
          <t>Yes</t>
        </is>
      </c>
      <c r="G74" s="12" t="n">
        <v>110</v>
      </c>
      <c r="H74" s="12" t="n">
        <v>159.2</v>
      </c>
      <c r="I74" s="12" t="n">
        <v>62</v>
      </c>
      <c r="J74" s="12" t="n">
        <v>11</v>
      </c>
      <c r="K74" s="10">
        <f>TRIM(IF(F74="No","Features ","")&amp;IF(G74="","Weight ","")&amp;IF(OR(H74="",I74="",J74="")," Dimensions",""))</f>
        <v/>
      </c>
      <c r="L74" s="11">
        <f>IF(OR(G74="",H74="",I74="",J74=""),"No data",IF(AND(G74&lt;=22,MAX(H74:J74)&lt;=105,(H74*I74*J74)/1000000&lt;=0.25),"Yes","Too big"))</f>
        <v/>
      </c>
      <c r="M74" s="10" t="inlineStr">
        <is>
          <t>/product/modular-storage-rack-complete-2-dual-pipe-2-flat-shelf</t>
        </is>
      </c>
    </row>
    <row r="75">
      <c r="A75" s="10" t="inlineStr">
        <is>
          <t>MEFRBB01</t>
        </is>
      </c>
      <c r="B75" s="10" t="inlineStr">
        <is>
          <t>Fixed Barbell Rack (5 Bar)</t>
        </is>
      </c>
      <c r="C75" s="10" t="inlineStr">
        <is>
          <t>Equipment Storage</t>
        </is>
      </c>
      <c r="D75" s="11" t="inlineStr">
        <is>
          <t>Yes</t>
        </is>
      </c>
      <c r="E75" s="11" t="inlineStr"/>
      <c r="F75" s="11" t="inlineStr">
        <is>
          <t>No</t>
        </is>
      </c>
      <c r="G75" s="12" t="n">
        <v>40</v>
      </c>
      <c r="H75" s="12" t="n">
        <v>134</v>
      </c>
      <c r="I75" s="12" t="n">
        <v>93</v>
      </c>
      <c r="J75" s="12" t="n">
        <v>26</v>
      </c>
      <c r="K75" s="10">
        <f>TRIM(IF(F75="No","Features ","")&amp;IF(G75="","Weight ","")&amp;IF(OR(H75="",I75="",J75="")," Dimensions",""))</f>
        <v/>
      </c>
      <c r="L75" s="11">
        <f>IF(OR(G75="",H75="",I75="",J75=""),"No data",IF(AND(G75&lt;=22,MAX(H75:J75)&lt;=105,(H75*I75*J75)/1000000&lt;=0.25),"Yes","Too big"))</f>
        <v/>
      </c>
      <c r="M75" s="10" t="inlineStr">
        <is>
          <t>/product/fixed-barbell-rack-5-bar</t>
        </is>
      </c>
    </row>
    <row r="76">
      <c r="A76" s="10" t="inlineStr">
        <is>
          <t>MEFRBB02</t>
        </is>
      </c>
      <c r="B76" s="10" t="inlineStr">
        <is>
          <t>Fixed Barbell Rack (10 Bar) 1.0</t>
        </is>
      </c>
      <c r="C76" s="10" t="inlineStr">
        <is>
          <t>Equipment Storage</t>
        </is>
      </c>
      <c r="D76" s="11" t="inlineStr">
        <is>
          <t>Yes</t>
        </is>
      </c>
      <c r="E76" s="11" t="inlineStr"/>
      <c r="F76" s="11" t="inlineStr">
        <is>
          <t>Yes</t>
        </is>
      </c>
      <c r="G76" s="12" t="n">
        <v>54</v>
      </c>
      <c r="H76" s="12" t="n">
        <v>139</v>
      </c>
      <c r="I76" s="12" t="n">
        <v>96</v>
      </c>
      <c r="J76" s="12" t="n">
        <v>30</v>
      </c>
      <c r="K76" s="10">
        <f>TRIM(IF(F76="No","Features ","")&amp;IF(G76="","Weight ","")&amp;IF(OR(H76="",I76="",J76="")," Dimensions",""))</f>
        <v/>
      </c>
      <c r="L76" s="11">
        <f>IF(OR(G76="",H76="",I76="",J76=""),"No data",IF(AND(G76&lt;=22,MAX(H76:J76)&lt;=105,(H76*I76*J76)/1000000&lt;=0.25),"Yes","Too big"))</f>
        <v/>
      </c>
      <c r="M76" s="10" t="inlineStr">
        <is>
          <t>/product/fixed-barbell-rack-10-bar-1-0</t>
        </is>
      </c>
    </row>
    <row r="77">
      <c r="A77" s="10" t="inlineStr">
        <is>
          <t>MEFRBB03</t>
        </is>
      </c>
      <c r="B77" s="10" t="inlineStr">
        <is>
          <t>Fixed Barbell Rack (10 Bar) 2.0</t>
        </is>
      </c>
      <c r="C77" s="10" t="inlineStr">
        <is>
          <t>Equipment Storage</t>
        </is>
      </c>
      <c r="D77" s="11" t="inlineStr">
        <is>
          <t>Yes</t>
        </is>
      </c>
      <c r="E77" s="11" t="inlineStr"/>
      <c r="F77" s="11" t="inlineStr">
        <is>
          <t>Yes</t>
        </is>
      </c>
      <c r="G77" s="12" t="n">
        <v>54</v>
      </c>
      <c r="H77" s="12" t="n">
        <v>139</v>
      </c>
      <c r="I77" s="12" t="n">
        <v>95</v>
      </c>
      <c r="J77" s="12" t="n">
        <v>30</v>
      </c>
      <c r="K77" s="10">
        <f>TRIM(IF(F77="No","Features ","")&amp;IF(G77="","Weight ","")&amp;IF(OR(H77="",I77="",J77="")," Dimensions",""))</f>
        <v/>
      </c>
      <c r="L77" s="11">
        <f>IF(OR(G77="",H77="",I77="",J77=""),"No data",IF(AND(G77&lt;=22,MAX(H77:J77)&lt;=105,(H77*I77*J77)/1000000&lt;=0.25),"Yes","Too big"))</f>
        <v/>
      </c>
      <c r="M77" s="10" t="inlineStr">
        <is>
          <t>/product/fixed-barbell-rack-10-bar-2-0</t>
        </is>
      </c>
    </row>
    <row r="78">
      <c r="A78" s="10" t="inlineStr">
        <is>
          <t>MEFRBB04</t>
        </is>
      </c>
      <c r="B78" s="10" t="inlineStr">
        <is>
          <t>Barbell Storage Box (9 Bar Holder)</t>
        </is>
      </c>
      <c r="C78" s="10" t="inlineStr">
        <is>
          <t>Equipment Storage</t>
        </is>
      </c>
      <c r="D78" s="11" t="inlineStr">
        <is>
          <t>Yes</t>
        </is>
      </c>
      <c r="E78" s="11" t="inlineStr"/>
      <c r="F78" s="11" t="inlineStr">
        <is>
          <t>Yes</t>
        </is>
      </c>
      <c r="G78" s="12" t="n">
        <v>26</v>
      </c>
      <c r="H78" s="12" t="n">
        <v>46</v>
      </c>
      <c r="I78" s="12" t="n">
        <v>46</v>
      </c>
      <c r="J78" s="12" t="n">
        <v>26</v>
      </c>
      <c r="K78" s="10">
        <f>TRIM(IF(F78="No","Features ","")&amp;IF(G78="","Weight ","")&amp;IF(OR(H78="",I78="",J78="")," Dimensions",""))</f>
        <v/>
      </c>
      <c r="L78" s="11">
        <f>IF(OR(G78="",H78="",I78="",J78=""),"No data",IF(AND(G78&lt;=22,MAX(H78:J78)&lt;=105,(H78*I78*J78)/1000000&lt;=0.25),"Yes","Too big"))</f>
        <v/>
      </c>
      <c r="M78" s="10" t="inlineStr">
        <is>
          <t>/product/barbell-storage-box-9-bar-holder-2</t>
        </is>
      </c>
    </row>
    <row r="79">
      <c r="A79" s="10" t="inlineStr">
        <is>
          <t>MEFRBB05</t>
        </is>
      </c>
      <c r="B79" s="10" t="inlineStr">
        <is>
          <t>Barbell Storage Box (9 Bar Holder) - Versatile</t>
        </is>
      </c>
      <c r="C79" s="10" t="inlineStr">
        <is>
          <t>Equipment Storage</t>
        </is>
      </c>
      <c r="D79" s="11" t="inlineStr">
        <is>
          <t>Yes</t>
        </is>
      </c>
      <c r="E79" s="11" t="inlineStr"/>
      <c r="F79" s="11" t="inlineStr">
        <is>
          <t>No</t>
        </is>
      </c>
      <c r="G79" s="12" t="n">
        <v>27</v>
      </c>
      <c r="H79" s="12" t="n">
        <v>46</v>
      </c>
      <c r="I79" s="12" t="n">
        <v>46</v>
      </c>
      <c r="J79" s="12" t="n">
        <v>26</v>
      </c>
      <c r="K79" s="10">
        <f>TRIM(IF(F79="No","Features ","")&amp;IF(G79="","Weight ","")&amp;IF(OR(H79="",I79="",J79="")," Dimensions",""))</f>
        <v/>
      </c>
      <c r="L79" s="11">
        <f>IF(OR(G79="",H79="",I79="",J79=""),"No data",IF(AND(G79&lt;=22,MAX(H79:J79)&lt;=105,(H79*I79*J79)/1000000&lt;=0.25),"Yes","Too big"))</f>
        <v/>
      </c>
      <c r="M79" s="10" t="inlineStr">
        <is>
          <t>/product/barbell-storage-box-9-bar-holder-versatile</t>
        </is>
      </c>
    </row>
    <row r="80">
      <c r="A80" s="10" t="inlineStr">
        <is>
          <t>MEFRBL01</t>
        </is>
      </c>
      <c r="B80" s="10" t="inlineStr">
        <is>
          <t>Medicine Ball Rack - 10 Ball (Double Sided)</t>
        </is>
      </c>
      <c r="C80" s="10" t="inlineStr">
        <is>
          <t>Equipment Storage</t>
        </is>
      </c>
      <c r="D80" s="11" t="inlineStr">
        <is>
          <t>Yes</t>
        </is>
      </c>
      <c r="E80" s="11" t="inlineStr"/>
      <c r="F80" s="11" t="inlineStr">
        <is>
          <t>No</t>
        </is>
      </c>
      <c r="G80" s="12" t="n">
        <v>14</v>
      </c>
      <c r="H80" s="12" t="n">
        <v>153</v>
      </c>
      <c r="I80" s="12" t="n">
        <v>15</v>
      </c>
      <c r="J80" s="12" t="n">
        <v>15</v>
      </c>
      <c r="K80" s="10">
        <f>TRIM(IF(F80="No","Features ","")&amp;IF(G80="","Weight ","")&amp;IF(OR(H80="",I80="",J80="")," Dimensions",""))</f>
        <v/>
      </c>
      <c r="L80" s="11">
        <f>IF(OR(G80="",H80="",I80="",J80=""),"No data",IF(AND(G80&lt;=22,MAX(H80:J80)&lt;=105,(H80*I80*J80)/1000000&lt;=0.25),"Yes","Too big"))</f>
        <v/>
      </c>
      <c r="M80" s="10" t="inlineStr">
        <is>
          <t>/product/medicine-ball-rack-10-ball-double-sided-2</t>
        </is>
      </c>
    </row>
    <row r="81">
      <c r="A81" s="10" t="inlineStr">
        <is>
          <t>MEFRBL02</t>
        </is>
      </c>
      <c r="B81" s="10" t="inlineStr">
        <is>
          <t>Medicine Ball Rack - 10 Ball (Single Sided)</t>
        </is>
      </c>
      <c r="C81" s="10" t="inlineStr">
        <is>
          <t>Equipment Storage</t>
        </is>
      </c>
      <c r="D81" s="11" t="inlineStr">
        <is>
          <t>Yes</t>
        </is>
      </c>
      <c r="E81" s="11" t="inlineStr"/>
      <c r="F81" s="11" t="inlineStr">
        <is>
          <t>No</t>
        </is>
      </c>
      <c r="G81" s="12" t="n">
        <v>18</v>
      </c>
      <c r="H81" s="12" t="n">
        <v>166</v>
      </c>
      <c r="I81" s="12" t="n">
        <v>55</v>
      </c>
      <c r="J81" s="12" t="n">
        <v>53</v>
      </c>
      <c r="K81" s="10">
        <f>TRIM(IF(F81="No","Features ","")&amp;IF(G81="","Weight ","")&amp;IF(OR(H81="",I81="",J81="")," Dimensions",""))</f>
        <v/>
      </c>
      <c r="L81" s="11">
        <f>IF(OR(G81="",H81="",I81="",J81=""),"No data",IF(AND(G81&lt;=22,MAX(H81:J81)&lt;=105,(H81*I81*J81)/1000000&lt;=0.25),"Yes","Too big"))</f>
        <v/>
      </c>
      <c r="M81" s="10" t="inlineStr">
        <is>
          <t>/product/medicine-ball-rack-10-ball-single-sided</t>
        </is>
      </c>
    </row>
    <row r="82">
      <c r="A82" s="10" t="inlineStr">
        <is>
          <t>MEFRBL03</t>
        </is>
      </c>
      <c r="B82" s="10" t="inlineStr">
        <is>
          <t>Medicine Ball Rack - 5 Ball (Single Sided)</t>
        </is>
      </c>
      <c r="C82" s="10" t="inlineStr">
        <is>
          <t>Equipment Storage</t>
        </is>
      </c>
      <c r="D82" s="11" t="inlineStr">
        <is>
          <t>Yes</t>
        </is>
      </c>
      <c r="E82" s="11" t="inlineStr"/>
      <c r="F82" s="11" t="inlineStr">
        <is>
          <t>No</t>
        </is>
      </c>
      <c r="G82" s="12" t="n">
        <v>16</v>
      </c>
      <c r="H82" s="12" t="n">
        <v>162</v>
      </c>
      <c r="I82" s="12" t="n">
        <v>84</v>
      </c>
      <c r="J82" s="12" t="n">
        <v>51.5</v>
      </c>
      <c r="K82" s="10">
        <f>TRIM(IF(F82="No","Features ","")&amp;IF(G82="","Weight ","")&amp;IF(OR(H82="",I82="",J82="")," Dimensions",""))</f>
        <v/>
      </c>
      <c r="L82" s="11">
        <f>IF(OR(G82="",H82="",I82="",J82=""),"No data",IF(AND(G82&lt;=22,MAX(H82:J82)&lt;=105,(H82*I82*J82)/1000000&lt;=0.25),"Yes","Too big"))</f>
        <v/>
      </c>
      <c r="M82" s="10" t="inlineStr">
        <is>
          <t>/product/medicine-ball-rack-5-ball-single-sided</t>
        </is>
      </c>
    </row>
    <row r="83">
      <c r="A83" s="10" t="inlineStr">
        <is>
          <t>MEFRDB01</t>
        </is>
      </c>
      <c r="B83" s="10" t="inlineStr">
        <is>
          <t>Vertical Dumbbell Rack - 10 Pair (Single Sided) 1.0</t>
        </is>
      </c>
      <c r="C83" s="10" t="inlineStr">
        <is>
          <t>Equipment Storage</t>
        </is>
      </c>
      <c r="D83" s="11" t="inlineStr">
        <is>
          <t>Yes</t>
        </is>
      </c>
      <c r="E83" s="11" t="inlineStr"/>
      <c r="F83" s="11" t="inlineStr">
        <is>
          <t>No</t>
        </is>
      </c>
      <c r="G83" s="12" t="n">
        <v>43</v>
      </c>
      <c r="H83" s="12" t="n">
        <v>175</v>
      </c>
      <c r="I83" s="12" t="n">
        <v>46.5</v>
      </c>
      <c r="J83" s="12" t="n">
        <v>16</v>
      </c>
      <c r="K83" s="10">
        <f>TRIM(IF(F83="No","Features ","")&amp;IF(G83="","Weight ","")&amp;IF(OR(H83="",I83="",J83="")," Dimensions",""))</f>
        <v/>
      </c>
      <c r="L83" s="11">
        <f>IF(OR(G83="",H83="",I83="",J83=""),"No data",IF(AND(G83&lt;=22,MAX(H83:J83)&lt;=105,(H83*I83*J83)/1000000&lt;=0.25),"Yes","Too big"))</f>
        <v/>
      </c>
      <c r="M83" s="10" t="inlineStr">
        <is>
          <t>/product/vertical-dumbbell-rack-10-pair-single-sided-1-0</t>
        </is>
      </c>
    </row>
    <row r="84">
      <c r="A84" s="10" t="inlineStr">
        <is>
          <t>MEFRDB02</t>
        </is>
      </c>
      <c r="B84" s="10" t="inlineStr">
        <is>
          <t>Vertical Dumbbell Rack - 10 Pair (Single Sided) 2.0</t>
        </is>
      </c>
      <c r="C84" s="10" t="inlineStr">
        <is>
          <t>Equipment Storage</t>
        </is>
      </c>
      <c r="D84" s="11" t="inlineStr">
        <is>
          <t>Yes</t>
        </is>
      </c>
      <c r="E84" s="11" t="inlineStr"/>
      <c r="F84" s="11" t="inlineStr">
        <is>
          <t>Yes</t>
        </is>
      </c>
      <c r="G84" s="12" t="n">
        <v>43</v>
      </c>
      <c r="H84" s="12" t="n">
        <v>175</v>
      </c>
      <c r="I84" s="12" t="n">
        <v>46.5</v>
      </c>
      <c r="J84" s="12" t="n">
        <v>16</v>
      </c>
      <c r="K84" s="10">
        <f>TRIM(IF(F84="No","Features ","")&amp;IF(G84="","Weight ","")&amp;IF(OR(H84="",I84="",J84="")," Dimensions",""))</f>
        <v/>
      </c>
      <c r="L84" s="11">
        <f>IF(OR(G84="",H84="",I84="",J84=""),"No data",IF(AND(G84&lt;=22,MAX(H84:J84)&lt;=105,(H84*I84*J84)/1000000&lt;=0.25),"Yes","Too big"))</f>
        <v/>
      </c>
      <c r="M84" s="10" t="inlineStr">
        <is>
          <t>/product/vertical-dumbbell-rack-10-pair-single-sided-2-0</t>
        </is>
      </c>
    </row>
    <row r="85">
      <c r="A85" s="10" t="inlineStr">
        <is>
          <t>MEFRDB03</t>
        </is>
      </c>
      <c r="B85" s="10" t="inlineStr">
        <is>
          <t>Vertical Dumbbell Rack - 15 Pair (Single Sided)</t>
        </is>
      </c>
      <c r="C85" s="10" t="inlineStr">
        <is>
          <t>Equipment Storage</t>
        </is>
      </c>
      <c r="D85" s="11" t="inlineStr">
        <is>
          <t>Yes</t>
        </is>
      </c>
      <c r="E85" s="11" t="inlineStr"/>
      <c r="F85" s="11" t="inlineStr">
        <is>
          <t>Yes</t>
        </is>
      </c>
      <c r="G85" s="12" t="n">
        <v>43</v>
      </c>
      <c r="H85" s="12" t="n">
        <v>175</v>
      </c>
      <c r="I85" s="12" t="n">
        <v>46.5</v>
      </c>
      <c r="J85" s="12" t="n">
        <v>16</v>
      </c>
      <c r="K85" s="10">
        <f>TRIM(IF(F85="No","Features ","")&amp;IF(G85="","Weight ","")&amp;IF(OR(H85="",I85="",J85="")," Dimensions",""))</f>
        <v/>
      </c>
      <c r="L85" s="11">
        <f>IF(OR(G85="",H85="",I85="",J85=""),"No data",IF(AND(G85&lt;=22,MAX(H85:J85)&lt;=105,(H85*I85*J85)/1000000&lt;=0.25),"Yes","Too big"))</f>
        <v/>
      </c>
      <c r="M85" s="10" t="inlineStr">
        <is>
          <t>/product/vertical-dumbbell-rack-15-pair-single-sided</t>
        </is>
      </c>
    </row>
    <row r="86">
      <c r="A86" s="10" t="inlineStr">
        <is>
          <t>MEFRDB04</t>
        </is>
      </c>
      <c r="B86" s="10" t="inlineStr">
        <is>
          <t>Vertical Dumbbell Rack - 10 Pair (Single Sided) 3.0</t>
        </is>
      </c>
      <c r="C86" s="10" t="inlineStr">
        <is>
          <t>Equipment Storage</t>
        </is>
      </c>
      <c r="D86" s="11" t="inlineStr">
        <is>
          <t>Yes</t>
        </is>
      </c>
      <c r="E86" s="11" t="inlineStr"/>
      <c r="F86" s="11" t="inlineStr">
        <is>
          <t>Yes</t>
        </is>
      </c>
      <c r="G86" s="12" t="n">
        <v>43</v>
      </c>
      <c r="H86" s="12" t="n">
        <v>175</v>
      </c>
      <c r="I86" s="12" t="n">
        <v>46.5</v>
      </c>
      <c r="J86" s="12" t="n">
        <v>16</v>
      </c>
      <c r="K86" s="10">
        <f>TRIM(IF(F86="No","Features ","")&amp;IF(G86="","Weight ","")&amp;IF(OR(H86="",I86="",J86="")," Dimensions",""))</f>
        <v/>
      </c>
      <c r="L86" s="11">
        <f>IF(OR(G86="",H86="",I86="",J86=""),"No data",IF(AND(G86&lt;=22,MAX(H86:J86)&lt;=105,(H86*I86*J86)/1000000&lt;=0.25),"Yes","Too big"))</f>
        <v/>
      </c>
      <c r="M86" s="10" t="inlineStr">
        <is>
          <t>/product/vertical-dumbbell-rack-10-pair-single-sided-3-0</t>
        </is>
      </c>
    </row>
    <row r="87">
      <c r="A87" s="10" t="inlineStr">
        <is>
          <t>MEFRDB05</t>
        </is>
      </c>
      <c r="B87" s="10" t="inlineStr">
        <is>
          <t>Vertical Dumbbell Rack - 10 Pair (Double Sided) 2.0</t>
        </is>
      </c>
      <c r="C87" s="10" t="inlineStr">
        <is>
          <t>Equipment Storage</t>
        </is>
      </c>
      <c r="D87" s="11" t="inlineStr">
        <is>
          <t>Yes</t>
        </is>
      </c>
      <c r="E87" s="11" t="inlineStr"/>
      <c r="F87" s="11" t="inlineStr">
        <is>
          <t>Yes</t>
        </is>
      </c>
      <c r="G87" s="12" t="n">
        <v>64</v>
      </c>
      <c r="H87" s="12" t="n">
        <v>165</v>
      </c>
      <c r="I87" s="12" t="n">
        <v>43</v>
      </c>
      <c r="J87" s="12" t="n">
        <v>43</v>
      </c>
      <c r="K87" s="10">
        <f>TRIM(IF(F87="No","Features ","")&amp;IF(G87="","Weight ","")&amp;IF(OR(H87="",I87="",J87="")," Dimensions",""))</f>
        <v/>
      </c>
      <c r="L87" s="11">
        <f>IF(OR(G87="",H87="",I87="",J87=""),"No data",IF(AND(G87&lt;=22,MAX(H87:J87)&lt;=105,(H87*I87*J87)/1000000&lt;=0.25),"Yes","Too big"))</f>
        <v/>
      </c>
      <c r="M87" s="10" t="inlineStr">
        <is>
          <t>/product/vertical-dumbbell-rack-10-pair-double-sided-2-0</t>
        </is>
      </c>
    </row>
    <row r="88">
      <c r="A88" s="10" t="inlineStr">
        <is>
          <t>MEFRDB06</t>
        </is>
      </c>
      <c r="B88" s="10" t="inlineStr">
        <is>
          <t>Vertical Dumbbell Rack - Portable (Four Sided)</t>
        </is>
      </c>
      <c r="C88" s="10" t="inlineStr">
        <is>
          <t>Equipment Storage</t>
        </is>
      </c>
      <c r="D88" s="11" t="inlineStr">
        <is>
          <t>Yes</t>
        </is>
      </c>
      <c r="E88" s="11" t="inlineStr"/>
      <c r="F88" s="11" t="inlineStr">
        <is>
          <t>No</t>
        </is>
      </c>
      <c r="G88" s="12" t="n">
        <v>53</v>
      </c>
      <c r="H88" s="12" t="n">
        <v>115</v>
      </c>
      <c r="I88" s="12" t="n">
        <v>56</v>
      </c>
      <c r="J88" s="12" t="n">
        <v>25</v>
      </c>
      <c r="K88" s="10">
        <f>TRIM(IF(F88="No","Features ","")&amp;IF(G88="","Weight ","")&amp;IF(OR(H88="",I88="",J88="")," Dimensions",""))</f>
        <v/>
      </c>
      <c r="L88" s="11">
        <f>IF(OR(G88="",H88="",I88="",J88=""),"No data",IF(AND(G88&lt;=22,MAX(H88:J88)&lt;=105,(H88*I88*J88)/1000000&lt;=0.25),"Yes","Too big"))</f>
        <v/>
      </c>
      <c r="M88" s="10" t="inlineStr">
        <is>
          <t>/product/vertical-dumbbell-rack-portable-four-sided-2</t>
        </is>
      </c>
    </row>
    <row r="89">
      <c r="A89" s="10" t="inlineStr">
        <is>
          <t>MEFRDB07</t>
        </is>
      </c>
      <c r="B89" s="10" t="inlineStr">
        <is>
          <t>Horizontal Dumbbell Rack - 2 Tier (5 Pair) 1.0</t>
        </is>
      </c>
      <c r="C89" s="10" t="inlineStr">
        <is>
          <t>Equipment Storage</t>
        </is>
      </c>
      <c r="D89" s="11" t="inlineStr">
        <is>
          <t>Yes</t>
        </is>
      </c>
      <c r="E89" s="11" t="inlineStr"/>
      <c r="F89" s="11" t="inlineStr">
        <is>
          <t>No</t>
        </is>
      </c>
      <c r="G89" s="12" t="n">
        <v>54</v>
      </c>
      <c r="H89" s="12" t="n">
        <v>95</v>
      </c>
      <c r="I89" s="12" t="n">
        <v>72</v>
      </c>
      <c r="J89" s="12" t="n">
        <v>35</v>
      </c>
      <c r="K89" s="10">
        <f>TRIM(IF(F89="No","Features ","")&amp;IF(G89="","Weight ","")&amp;IF(OR(H89="",I89="",J89="")," Dimensions",""))</f>
        <v/>
      </c>
      <c r="L89" s="11">
        <f>IF(OR(G89="",H89="",I89="",J89=""),"No data",IF(AND(G89&lt;=22,MAX(H89:J89)&lt;=105,(H89*I89*J89)/1000000&lt;=0.25),"Yes","Too big"))</f>
        <v/>
      </c>
      <c r="M89" s="10" t="inlineStr">
        <is>
          <t>/product/horizontal-dumbbell-rack-2-tier-5-pair-1-0</t>
        </is>
      </c>
    </row>
    <row r="90">
      <c r="A90" s="10" t="inlineStr">
        <is>
          <t>MEFRDB08</t>
        </is>
      </c>
      <c r="B90" s="10" t="inlineStr">
        <is>
          <t>Horizontal Dumbbell Rack - 2 Tier (10 Pair) 1.0</t>
        </is>
      </c>
      <c r="C90" s="10" t="inlineStr">
        <is>
          <t>Equipment Storage</t>
        </is>
      </c>
      <c r="D90" s="11" t="inlineStr">
        <is>
          <t>Yes</t>
        </is>
      </c>
      <c r="E90" s="11" t="inlineStr"/>
      <c r="F90" s="11" t="inlineStr">
        <is>
          <t>Yes</t>
        </is>
      </c>
      <c r="G90" s="12" t="n">
        <v>66</v>
      </c>
      <c r="H90" s="12" t="n">
        <v>222</v>
      </c>
      <c r="I90" s="12" t="n">
        <v>27</v>
      </c>
      <c r="J90" s="12" t="n">
        <v>14</v>
      </c>
      <c r="K90" s="10">
        <f>TRIM(IF(F90="No","Features ","")&amp;IF(G90="","Weight ","")&amp;IF(OR(H90="",I90="",J90="")," Dimensions",""))</f>
        <v/>
      </c>
      <c r="L90" s="11">
        <f>IF(OR(G90="",H90="",I90="",J90=""),"No data",IF(AND(G90&lt;=22,MAX(H90:J90)&lt;=105,(H90*I90*J90)/1000000&lt;=0.25),"Yes","Too big"))</f>
        <v/>
      </c>
      <c r="M90" s="10" t="inlineStr">
        <is>
          <t>/product/horizontal-dumbbell-rack-2-tier-10-pair-1-0</t>
        </is>
      </c>
    </row>
    <row r="91">
      <c r="A91" s="10" t="inlineStr">
        <is>
          <t>MEFRDB09</t>
        </is>
      </c>
      <c r="B91" s="10" t="inlineStr">
        <is>
          <t>Horizontal Dumbbell Rack - 3 Tier (15 Pair)</t>
        </is>
      </c>
      <c r="C91" s="10" t="inlineStr">
        <is>
          <t>Equipment Storage</t>
        </is>
      </c>
      <c r="D91" s="11" t="inlineStr">
        <is>
          <t>Yes</t>
        </is>
      </c>
      <c r="E91" s="11" t="inlineStr"/>
      <c r="F91" s="11" t="inlineStr">
        <is>
          <t>Yes</t>
        </is>
      </c>
      <c r="G91" s="12" t="n">
        <v>136</v>
      </c>
      <c r="H91" s="12" t="n">
        <v>250</v>
      </c>
      <c r="I91" s="12" t="n">
        <v>50</v>
      </c>
      <c r="J91" s="12" t="n">
        <v>30</v>
      </c>
      <c r="K91" s="10">
        <f>TRIM(IF(F91="No","Features ","")&amp;IF(G91="","Weight ","")&amp;IF(OR(H91="",I91="",J91="")," Dimensions",""))</f>
        <v/>
      </c>
      <c r="L91" s="11">
        <f>IF(OR(G91="",H91="",I91="",J91=""),"No data",IF(AND(G91&lt;=22,MAX(H91:J91)&lt;=105,(H91*I91*J91)/1000000&lt;=0.25),"Yes","Too big"))</f>
        <v/>
      </c>
      <c r="M91" s="10" t="inlineStr">
        <is>
          <t>/product/horizontal-dumbbell-rack-3-tier-15-pair</t>
        </is>
      </c>
    </row>
    <row r="92">
      <c r="A92" s="10" t="inlineStr">
        <is>
          <t>MEFRDB10</t>
        </is>
      </c>
      <c r="B92" s="10" t="inlineStr">
        <is>
          <t>Horizontal Dumbbell Rack - 2 Tier (5 Pair) 2.0</t>
        </is>
      </c>
      <c r="C92" s="10" t="inlineStr">
        <is>
          <t>Equipment Storage</t>
        </is>
      </c>
      <c r="D92" s="11" t="inlineStr">
        <is>
          <t>Yes</t>
        </is>
      </c>
      <c r="E92" s="11" t="inlineStr"/>
      <c r="F92" s="11" t="inlineStr">
        <is>
          <t>Yes</t>
        </is>
      </c>
      <c r="G92" s="12" t="n">
        <v>68</v>
      </c>
      <c r="H92" s="12" t="n">
        <v>148</v>
      </c>
      <c r="I92" s="12" t="n">
        <v>84</v>
      </c>
      <c r="J92" s="12" t="n">
        <v>30</v>
      </c>
      <c r="K92" s="10">
        <f>TRIM(IF(F92="No","Features ","")&amp;IF(G92="","Weight ","")&amp;IF(OR(H92="",I92="",J92="")," Dimensions",""))</f>
        <v/>
      </c>
      <c r="L92" s="11">
        <f>IF(OR(G92="",H92="",I92="",J92=""),"No data",IF(AND(G92&lt;=22,MAX(H92:J92)&lt;=105,(H92*I92*J92)/1000000&lt;=0.25),"Yes","Too big"))</f>
        <v/>
      </c>
      <c r="M92" s="10" t="inlineStr">
        <is>
          <t>/product/horizontal-dumbbell-rack-2-tier-5-pair-2-0</t>
        </is>
      </c>
    </row>
    <row r="93">
      <c r="A93" s="10" t="inlineStr">
        <is>
          <t>MEFRDB11</t>
        </is>
      </c>
      <c r="B93" s="10" t="inlineStr">
        <is>
          <t>Horizontal Dumbbell Rack - 2 Tier (10 Pair) 2.0</t>
        </is>
      </c>
      <c r="C93" s="10" t="inlineStr">
        <is>
          <t>Equipment Storage</t>
        </is>
      </c>
      <c r="D93" s="11" t="inlineStr">
        <is>
          <t>Yes</t>
        </is>
      </c>
      <c r="E93" s="11" t="inlineStr"/>
      <c r="F93" s="11" t="inlineStr">
        <is>
          <t>Yes</t>
        </is>
      </c>
      <c r="G93" s="12" t="n">
        <v>112</v>
      </c>
      <c r="H93" s="12" t="n">
        <v>268</v>
      </c>
      <c r="I93" s="12" t="n">
        <v>84</v>
      </c>
      <c r="J93" s="12" t="n">
        <v>30</v>
      </c>
      <c r="K93" s="10">
        <f>TRIM(IF(F93="No","Features ","")&amp;IF(G93="","Weight ","")&amp;IF(OR(H93="",I93="",J93="")," Dimensions",""))</f>
        <v/>
      </c>
      <c r="L93" s="11">
        <f>IF(OR(G93="",H93="",I93="",J93=""),"No data",IF(AND(G93&lt;=22,MAX(H93:J93)&lt;=105,(H93*I93*J93)/1000000&lt;=0.25),"Yes","Too big"))</f>
        <v/>
      </c>
      <c r="M93" s="10" t="inlineStr">
        <is>
          <t>/product/horizontal-dumbbell-rack-2-tier-10-pair-2-0</t>
        </is>
      </c>
    </row>
    <row r="94">
      <c r="A94" s="10" t="inlineStr">
        <is>
          <t>MEFRKB01</t>
        </is>
      </c>
      <c r="B94" s="10" t="inlineStr">
        <is>
          <t>Kettlebell Rack (2 Tier) 2.0</t>
        </is>
      </c>
      <c r="C94" s="10" t="inlineStr">
        <is>
          <t>Equipment Storage</t>
        </is>
      </c>
      <c r="D94" s="11" t="inlineStr">
        <is>
          <t>Yes</t>
        </is>
      </c>
      <c r="E94" s="11" t="inlineStr"/>
      <c r="F94" s="11" t="inlineStr">
        <is>
          <t>No</t>
        </is>
      </c>
      <c r="G94" s="12" t="n">
        <v>33</v>
      </c>
      <c r="H94" s="12" t="n">
        <v>90</v>
      </c>
      <c r="I94" s="12" t="n">
        <v>80</v>
      </c>
      <c r="J94" s="12" t="n">
        <v>14</v>
      </c>
      <c r="K94" s="10">
        <f>TRIM(IF(F94="No","Features ","")&amp;IF(G94="","Weight ","")&amp;IF(OR(H94="",I94="",J94="")," Dimensions",""))</f>
        <v/>
      </c>
      <c r="L94" s="11">
        <f>IF(OR(G94="",H94="",I94="",J94=""),"No data",IF(AND(G94&lt;=22,MAX(H94:J94)&lt;=105,(H94*I94*J94)/1000000&lt;=0.25),"Yes","Too big"))</f>
        <v/>
      </c>
      <c r="M94" s="10" t="inlineStr">
        <is>
          <t>/product/kettlebell-rack-2-tier-2-0</t>
        </is>
      </c>
    </row>
    <row r="95">
      <c r="A95" s="10" t="inlineStr">
        <is>
          <t>MEFRKB02</t>
        </is>
      </c>
      <c r="B95" s="10" t="inlineStr">
        <is>
          <t>Kettlebell Rack (2 Tier) 3.0</t>
        </is>
      </c>
      <c r="C95" s="10" t="inlineStr">
        <is>
          <t>Equipment Storage</t>
        </is>
      </c>
      <c r="D95" s="11" t="inlineStr">
        <is>
          <t>Yes</t>
        </is>
      </c>
      <c r="E95" s="11" t="inlineStr"/>
      <c r="F95" s="11" t="inlineStr">
        <is>
          <t>Yes</t>
        </is>
      </c>
      <c r="G95" s="12" t="n">
        <v>53</v>
      </c>
      <c r="H95" s="12" t="n">
        <v>90</v>
      </c>
      <c r="I95" s="12" t="n">
        <v>80</v>
      </c>
      <c r="J95" s="12" t="n">
        <v>14</v>
      </c>
      <c r="K95" s="10">
        <f>TRIM(IF(F95="No","Features ","")&amp;IF(G95="","Weight ","")&amp;IF(OR(H95="",I95="",J95="")," Dimensions",""))</f>
        <v/>
      </c>
      <c r="L95" s="11">
        <f>IF(OR(G95="",H95="",I95="",J95=""),"No data",IF(AND(G95&lt;=22,MAX(H95:J95)&lt;=105,(H95*I95*J95)/1000000&lt;=0.25),"Yes","Too big"))</f>
        <v/>
      </c>
      <c r="M95" s="10" t="inlineStr">
        <is>
          <t>/product/kettlebell-rack-2-tier-3-0</t>
        </is>
      </c>
    </row>
    <row r="96">
      <c r="A96" s="10" t="inlineStr">
        <is>
          <t>MEFRKB03</t>
        </is>
      </c>
      <c r="B96" s="10" t="inlineStr">
        <is>
          <t>Kettlebell Rack (2 Tier) 4.0</t>
        </is>
      </c>
      <c r="C96" s="10" t="inlineStr">
        <is>
          <t>Equipment Storage</t>
        </is>
      </c>
      <c r="D96" s="11" t="inlineStr">
        <is>
          <t>Yes</t>
        </is>
      </c>
      <c r="E96" s="11" t="inlineStr"/>
      <c r="F96" s="11" t="inlineStr">
        <is>
          <t>Yes</t>
        </is>
      </c>
      <c r="G96" s="12" t="n">
        <v>53</v>
      </c>
      <c r="H96" s="12" t="n">
        <v>90</v>
      </c>
      <c r="I96" s="12" t="n">
        <v>80</v>
      </c>
      <c r="J96" s="12" t="n">
        <v>14</v>
      </c>
      <c r="K96" s="10">
        <f>TRIM(IF(F96="No","Features ","")&amp;IF(G96="","Weight ","")&amp;IF(OR(H96="",I96="",J96="")," Dimensions",""))</f>
        <v/>
      </c>
      <c r="L96" s="11">
        <f>IF(OR(G96="",H96="",I96="",J96=""),"No data",IF(AND(G96&lt;=22,MAX(H96:J96)&lt;=105,(H96*I96*J96)/1000000&lt;=0.25),"Yes","Too big"))</f>
        <v/>
      </c>
      <c r="M96" s="10" t="inlineStr">
        <is>
          <t>/product/kettlebell-rack-2-tier-4-0</t>
        </is>
      </c>
    </row>
    <row r="97">
      <c r="A97" s="10" t="inlineStr">
        <is>
          <t>MEFROP01</t>
        </is>
      </c>
      <c r="B97" s="10" t="inlineStr">
        <is>
          <t>Olympic Plate Toaster Rack Portable</t>
        </is>
      </c>
      <c r="C97" s="10" t="inlineStr">
        <is>
          <t>Equipment Storage</t>
        </is>
      </c>
      <c r="D97" s="11" t="inlineStr">
        <is>
          <t>Yes</t>
        </is>
      </c>
      <c r="E97" s="11" t="inlineStr"/>
      <c r="F97" s="11" t="inlineStr">
        <is>
          <t>No</t>
        </is>
      </c>
      <c r="G97" s="12" t="n">
        <v>22</v>
      </c>
      <c r="H97" s="12" t="n">
        <v>155</v>
      </c>
      <c r="I97" s="12" t="n">
        <v>40</v>
      </c>
      <c r="J97" s="12" t="n">
        <v>27</v>
      </c>
      <c r="K97" s="10">
        <f>TRIM(IF(F97="No","Features ","")&amp;IF(G97="","Weight ","")&amp;IF(OR(H97="",I97="",J97="")," Dimensions",""))</f>
        <v/>
      </c>
      <c r="L97" s="11">
        <f>IF(OR(G97="",H97="",I97="",J97=""),"No data",IF(AND(G97&lt;=22,MAX(H97:J97)&lt;=105,(H97*I97*J97)/1000000&lt;=0.25),"Yes","Too big"))</f>
        <v/>
      </c>
      <c r="M97" s="10" t="inlineStr">
        <is>
          <t>/product/olympic-plate-toaster-rack-portable</t>
        </is>
      </c>
    </row>
    <row r="98">
      <c r="A98" s="10" t="inlineStr">
        <is>
          <t>MEFROP02</t>
        </is>
      </c>
      <c r="B98" s="10" t="inlineStr">
        <is>
          <t>Olympic Weight Plate Tree Portable (6 Storage Pins, 2 Bar Storage)</t>
        </is>
      </c>
      <c r="C98" s="10" t="inlineStr">
        <is>
          <t>Equipment Storage</t>
        </is>
      </c>
      <c r="D98" s="11" t="inlineStr">
        <is>
          <t>Yes</t>
        </is>
      </c>
      <c r="E98" s="11" t="inlineStr"/>
      <c r="F98" s="11" t="inlineStr">
        <is>
          <t>Yes</t>
        </is>
      </c>
      <c r="G98" s="12" t="n">
        <v>16</v>
      </c>
      <c r="H98" s="12" t="n">
        <v>140</v>
      </c>
      <c r="I98" s="12" t="n">
        <v>65</v>
      </c>
      <c r="J98" s="12" t="n">
        <v>20</v>
      </c>
      <c r="K98" s="10">
        <f>TRIM(IF(F98="No","Features ","")&amp;IF(G98="","Weight ","")&amp;IF(OR(H98="",I98="",J98="")," Dimensions",""))</f>
        <v/>
      </c>
      <c r="L98" s="11">
        <f>IF(OR(G98="",H98="",I98="",J98=""),"No data",IF(AND(G98&lt;=22,MAX(H98:J98)&lt;=105,(H98*I98*J98)/1000000&lt;=0.25),"Yes","Too big"))</f>
        <v/>
      </c>
      <c r="M98" s="10" t="inlineStr">
        <is>
          <t>/product/olympic-weight-plate-tree-portable-6-storage-pins-2-bar-storage</t>
        </is>
      </c>
    </row>
    <row r="99">
      <c r="A99" s="10" t="inlineStr">
        <is>
          <t>MEFROP03</t>
        </is>
      </c>
      <c r="B99" s="10" t="inlineStr">
        <is>
          <t>Olympic Weight Plate Tree (8 Storage Pins)</t>
        </is>
      </c>
      <c r="C99" s="10" t="inlineStr">
        <is>
          <t>Equipment Storage</t>
        </is>
      </c>
      <c r="D99" s="11" t="inlineStr">
        <is>
          <t>Yes</t>
        </is>
      </c>
      <c r="E99" s="11" t="inlineStr"/>
      <c r="F99" s="11" t="inlineStr">
        <is>
          <t>Yes</t>
        </is>
      </c>
      <c r="G99" s="12" t="n">
        <v>28</v>
      </c>
      <c r="H99" s="12" t="n">
        <v>138</v>
      </c>
      <c r="I99" s="12" t="n">
        <v>65</v>
      </c>
      <c r="J99" s="12" t="n">
        <v>20</v>
      </c>
      <c r="K99" s="10">
        <f>TRIM(IF(F99="No","Features ","")&amp;IF(G99="","Weight ","")&amp;IF(OR(H99="",I99="",J99="")," Dimensions",""))</f>
        <v/>
      </c>
      <c r="L99" s="11">
        <f>IF(OR(G99="",H99="",I99="",J99=""),"No data",IF(AND(G99&lt;=22,MAX(H99:J99)&lt;=105,(H99*I99*J99)/1000000&lt;=0.25),"Yes","Too big"))</f>
        <v/>
      </c>
      <c r="M99" s="10" t="inlineStr">
        <is>
          <t>/product/olympic-weight-plate-tree-8-storage-pins-2</t>
        </is>
      </c>
    </row>
    <row r="100">
      <c r="A100" s="10" t="inlineStr">
        <is>
          <t>MEFROP04</t>
        </is>
      </c>
      <c r="B100" s="10" t="inlineStr">
        <is>
          <t>Olympic Weight Plate Tree Vertical (6 Storage Pins)</t>
        </is>
      </c>
      <c r="C100" s="10" t="inlineStr">
        <is>
          <t>Equipment Storage</t>
        </is>
      </c>
      <c r="D100" s="11" t="inlineStr">
        <is>
          <t>Yes</t>
        </is>
      </c>
      <c r="E100" s="11" t="inlineStr"/>
      <c r="F100" s="11" t="inlineStr">
        <is>
          <t>Yes</t>
        </is>
      </c>
      <c r="G100" s="12" t="n">
        <v>48</v>
      </c>
      <c r="H100" s="12" t="n">
        <v>72</v>
      </c>
      <c r="I100" s="12" t="n">
        <v>43</v>
      </c>
      <c r="J100" s="12" t="n">
        <v>125</v>
      </c>
      <c r="K100" s="10">
        <f>TRIM(IF(F100="No","Features ","")&amp;IF(G100="","Weight ","")&amp;IF(OR(H100="",I100="",J100="")," Dimensions",""))</f>
        <v/>
      </c>
      <c r="L100" s="11">
        <f>IF(OR(G100="",H100="",I100="",J100=""),"No data",IF(AND(G100&lt;=22,MAX(H100:J100)&lt;=105,(H100*I100*J100)/1000000&lt;=0.25),"Yes","Too big"))</f>
        <v/>
      </c>
      <c r="M100" s="10" t="inlineStr">
        <is>
          <t>/product/olympic-weight-plate-tree-vertical-6-storage-pins</t>
        </is>
      </c>
    </row>
    <row r="101">
      <c r="A101" s="10" t="inlineStr">
        <is>
          <t>MEFRPS01</t>
        </is>
      </c>
      <c r="B101" s="10" t="inlineStr">
        <is>
          <t>Group Fitness Barbell Set Rack</t>
        </is>
      </c>
      <c r="C101" s="10" t="inlineStr">
        <is>
          <t>Equipment Storage</t>
        </is>
      </c>
      <c r="D101" s="11" t="inlineStr">
        <is>
          <t>Yes</t>
        </is>
      </c>
      <c r="E101" s="11" t="inlineStr"/>
      <c r="F101" s="11" t="inlineStr">
        <is>
          <t>No</t>
        </is>
      </c>
      <c r="G101" s="12" t="n">
        <v>34</v>
      </c>
      <c r="H101" s="12" t="n">
        <v>146</v>
      </c>
      <c r="I101" s="12" t="n">
        <v>71</v>
      </c>
      <c r="J101" s="12" t="n">
        <v>18.5</v>
      </c>
      <c r="K101" s="10">
        <f>TRIM(IF(F101="No","Features ","")&amp;IF(G101="","Weight ","")&amp;IF(OR(H101="",I101="",J101="")," Dimensions",""))</f>
        <v/>
      </c>
      <c r="L101" s="11">
        <f>IF(OR(G101="",H101="",I101="",J101=""),"No data",IF(AND(G101&lt;=22,MAX(H101:J101)&lt;=105,(H101*I101*J101)/1000000&lt;=0.25),"Yes","Too big"))</f>
        <v/>
      </c>
      <c r="M101" s="10" t="inlineStr">
        <is>
          <t>/product/group-fitness-barbell-set-rack</t>
        </is>
      </c>
    </row>
    <row r="102">
      <c r="A102" s="10" t="inlineStr">
        <is>
          <t>MEWMACC01</t>
        </is>
      </c>
      <c r="B102" s="10" t="inlineStr">
        <is>
          <t>Rope &amp;amp; Band Rack (Wall Mounted) (Small)</t>
        </is>
      </c>
      <c r="C102" s="10" t="inlineStr">
        <is>
          <t>Equipment Storage</t>
        </is>
      </c>
      <c r="D102" s="11" t="inlineStr">
        <is>
          <t>Yes</t>
        </is>
      </c>
      <c r="E102" s="11" t="inlineStr"/>
      <c r="F102" s="11" t="inlineStr">
        <is>
          <t>No</t>
        </is>
      </c>
      <c r="G102" s="12" t="n">
        <v>4</v>
      </c>
      <c r="H102" s="12" t="n">
        <v>43</v>
      </c>
      <c r="I102" s="12" t="n">
        <v>11</v>
      </c>
      <c r="J102" s="12" t="n">
        <v>11</v>
      </c>
      <c r="K102" s="10">
        <f>TRIM(IF(F102="No","Features ","")&amp;IF(G102="","Weight ","")&amp;IF(OR(H102="",I102="",J102="")," Dimensions",""))</f>
        <v/>
      </c>
      <c r="L102" s="11">
        <f>IF(OR(G102="",H102="",I102="",J102=""),"No data",IF(AND(G102&lt;=22,MAX(H102:J102)&lt;=105,(H102*I102*J102)/1000000&lt;=0.25),"Yes","Too big"))</f>
        <v/>
      </c>
      <c r="M102" s="10" t="inlineStr">
        <is>
          <t>/product/rope-band-rack-wall-mounted-small</t>
        </is>
      </c>
    </row>
    <row r="103">
      <c r="A103" s="10" t="inlineStr">
        <is>
          <t>MEWMACC02</t>
        </is>
      </c>
      <c r="B103" s="10" t="inlineStr">
        <is>
          <t>Rope &amp;amp; Band Rack (Wall Mounted)</t>
        </is>
      </c>
      <c r="C103" s="10" t="inlineStr">
        <is>
          <t>Equipment Storage</t>
        </is>
      </c>
      <c r="D103" s="11" t="inlineStr">
        <is>
          <t>Yes</t>
        </is>
      </c>
      <c r="E103" s="11" t="inlineStr"/>
      <c r="F103" s="11" t="inlineStr">
        <is>
          <t>No</t>
        </is>
      </c>
      <c r="G103" s="12" t="n">
        <v>4</v>
      </c>
      <c r="H103" s="12" t="n">
        <v>58</v>
      </c>
      <c r="I103" s="12" t="n">
        <v>11</v>
      </c>
      <c r="J103" s="12" t="n">
        <v>11</v>
      </c>
      <c r="K103" s="10">
        <f>TRIM(IF(F103="No","Features ","")&amp;IF(G103="","Weight ","")&amp;IF(OR(H103="",I103="",J103="")," Dimensions",""))</f>
        <v/>
      </c>
      <c r="L103" s="11">
        <f>IF(OR(G103="",H103="",I103="",J103=""),"No data",IF(AND(G103&lt;=22,MAX(H103:J103)&lt;=105,(H103*I103*J103)/1000000&lt;=0.25),"Yes","Too big"))</f>
        <v/>
      </c>
      <c r="M103" s="10" t="inlineStr">
        <is>
          <t>/product/rope-band-rack-wall-mounted</t>
        </is>
      </c>
    </row>
    <row r="104">
      <c r="A104" s="10" t="inlineStr">
        <is>
          <t>MEWMACC03</t>
        </is>
      </c>
      <c r="B104" s="10" t="inlineStr">
        <is>
          <t>Dip Bar Holder (Wall Mounted)</t>
        </is>
      </c>
      <c r="C104" s="10" t="inlineStr">
        <is>
          <t>Equipment Storage</t>
        </is>
      </c>
      <c r="D104" s="11" t="inlineStr">
        <is>
          <t>Yes</t>
        </is>
      </c>
      <c r="E104" s="11" t="inlineStr"/>
      <c r="F104" s="11" t="inlineStr">
        <is>
          <t>Yes</t>
        </is>
      </c>
      <c r="G104" s="12" t="n">
        <v>19</v>
      </c>
      <c r="H104" s="12" t="n">
        <v>14</v>
      </c>
      <c r="I104" s="12" t="n">
        <v>26.5</v>
      </c>
      <c r="J104" s="12" t="n">
        <v>171</v>
      </c>
      <c r="K104" s="10">
        <f>TRIM(IF(F104="No","Features ","")&amp;IF(G104="","Weight ","")&amp;IF(OR(H104="",I104="",J104="")," Dimensions",""))</f>
        <v/>
      </c>
      <c r="L104" s="11">
        <f>IF(OR(G104="",H104="",I104="",J104=""),"No data",IF(AND(G104&lt;=22,MAX(H104:J104)&lt;=105,(H104*I104*J104)/1000000&lt;=0.25),"Yes","Too big"))</f>
        <v/>
      </c>
      <c r="M104" s="10" t="inlineStr">
        <is>
          <t>/product/dip-bar-holder-wall-mounted</t>
        </is>
      </c>
    </row>
    <row r="105">
      <c r="A105" s="10" t="inlineStr">
        <is>
          <t>MEWMBB01</t>
        </is>
      </c>
      <c r="B105" s="10" t="inlineStr">
        <is>
          <t>Horizontal Barbell Storage Rack (6 Bar) (Wall Mounted)</t>
        </is>
      </c>
      <c r="C105" s="10" t="inlineStr">
        <is>
          <t>Equipment Storage</t>
        </is>
      </c>
      <c r="D105" s="11" t="inlineStr">
        <is>
          <t>Yes</t>
        </is>
      </c>
      <c r="E105" s="11" t="inlineStr"/>
      <c r="F105" s="11" t="inlineStr">
        <is>
          <t>Yes</t>
        </is>
      </c>
      <c r="G105" s="12" t="n">
        <v>14</v>
      </c>
      <c r="H105" s="12" t="n">
        <v>96</v>
      </c>
      <c r="I105" s="12" t="n">
        <v>13</v>
      </c>
      <c r="J105" s="12" t="n">
        <v>13</v>
      </c>
      <c r="K105" s="10">
        <f>TRIM(IF(F105="No","Features ","")&amp;IF(G105="","Weight ","")&amp;IF(OR(H105="",I105="",J105="")," Dimensions",""))</f>
        <v/>
      </c>
      <c r="L105" s="11">
        <f>IF(OR(G105="",H105="",I105="",J105=""),"No data",IF(AND(G105&lt;=22,MAX(H105:J105)&lt;=105,(H105*I105*J105)/1000000&lt;=0.25),"Yes","Too big"))</f>
        <v/>
      </c>
      <c r="M105" s="10" t="inlineStr">
        <is>
          <t>/product/horizontal-barbell-storage-rack-6-bar-wall-mounted</t>
        </is>
      </c>
    </row>
    <row r="106">
      <c r="A106" s="10" t="inlineStr">
        <is>
          <t>MEWMBB02</t>
        </is>
      </c>
      <c r="B106" s="10" t="inlineStr">
        <is>
          <t>Vertical Barbell Storage Rack (6 Bar) (Wall Mounted)</t>
        </is>
      </c>
      <c r="C106" s="10" t="inlineStr">
        <is>
          <t>Equipment Storage</t>
        </is>
      </c>
      <c r="D106" s="11" t="inlineStr">
        <is>
          <t>Yes</t>
        </is>
      </c>
      <c r="E106" s="11" t="inlineStr"/>
      <c r="F106" s="11" t="inlineStr">
        <is>
          <t>Yes</t>
        </is>
      </c>
      <c r="G106" s="12" t="n">
        <v>5</v>
      </c>
      <c r="H106" s="12" t="n">
        <v>56</v>
      </c>
      <c r="I106" s="12" t="n">
        <v>11.5</v>
      </c>
      <c r="J106" s="12" t="n">
        <v>8.5</v>
      </c>
      <c r="K106" s="10">
        <f>TRIM(IF(F106="No","Features ","")&amp;IF(G106="","Weight ","")&amp;IF(OR(H106="",I106="",J106="")," Dimensions",""))</f>
        <v/>
      </c>
      <c r="L106" s="11">
        <f>IF(OR(G106="",H106="",I106="",J106=""),"No data",IF(AND(G106&lt;=22,MAX(H106:J106)&lt;=105,(H106*I106*J106)/1000000&lt;=0.25),"Yes","Too big"))</f>
        <v/>
      </c>
      <c r="M106" s="10" t="inlineStr">
        <is>
          <t>/product/vertical-barbell-storage-rack-6-bar-wall-mounted</t>
        </is>
      </c>
    </row>
    <row r="107">
      <c r="A107" s="10" t="inlineStr">
        <is>
          <t>MEWMBER01</t>
        </is>
      </c>
      <c r="B107" s="10" t="inlineStr">
        <is>
          <t>Bench &amp; Rower Rack (Wall Mounted)</t>
        </is>
      </c>
      <c r="C107" s="10" t="inlineStr">
        <is>
          <t>Equipment Storage</t>
        </is>
      </c>
      <c r="D107" s="11" t="inlineStr">
        <is>
          <t>Yes</t>
        </is>
      </c>
      <c r="E107" s="11" t="inlineStr"/>
      <c r="F107" s="11" t="inlineStr">
        <is>
          <t>Yes</t>
        </is>
      </c>
      <c r="G107" s="12" t="n">
        <v>7</v>
      </c>
      <c r="H107" s="12" t="n">
        <v>60.5</v>
      </c>
      <c r="I107" s="12" t="n">
        <v>7</v>
      </c>
      <c r="J107" s="12" t="n">
        <v>16.5</v>
      </c>
      <c r="K107" s="10">
        <f>TRIM(IF(F107="No","Features ","")&amp;IF(G107="","Weight ","")&amp;IF(OR(H107="",I107="",J107="")," Dimensions",""))</f>
        <v/>
      </c>
      <c r="L107" s="11">
        <f>IF(OR(G107="",H107="",I107="",J107=""),"No data",IF(AND(G107&lt;=22,MAX(H107:J107)&lt;=105,(H107*I107*J107)/1000000&lt;=0.25),"Yes","Too big"))</f>
        <v/>
      </c>
      <c r="M107" s="10" t="inlineStr">
        <is>
          <t>/product/bench-rower-rack-wall-mounted</t>
        </is>
      </c>
    </row>
    <row r="108">
      <c r="A108" s="10" t="inlineStr">
        <is>
          <t>MEWMBL01</t>
        </is>
      </c>
      <c r="B108" s="10" t="inlineStr">
        <is>
          <t>Fitness Ball Storage Rack (Wall Mounted)</t>
        </is>
      </c>
      <c r="C108" s="10" t="inlineStr">
        <is>
          <t>Equipment Storage</t>
        </is>
      </c>
      <c r="D108" s="11" t="inlineStr">
        <is>
          <t>Yes</t>
        </is>
      </c>
      <c r="E108" s="11" t="inlineStr"/>
      <c r="F108" s="11" t="inlineStr">
        <is>
          <t>No</t>
        </is>
      </c>
      <c r="G108" s="12" t="n">
        <v>12</v>
      </c>
      <c r="H108" s="12" t="n">
        <v>200</v>
      </c>
      <c r="I108" s="12" t="n">
        <v>28</v>
      </c>
      <c r="J108" s="12" t="n">
        <v>10</v>
      </c>
      <c r="K108" s="10">
        <f>TRIM(IF(F108="No","Features ","")&amp;IF(G108="","Weight ","")&amp;IF(OR(H108="",I108="",J108="")," Dimensions",""))</f>
        <v/>
      </c>
      <c r="L108" s="11">
        <f>IF(OR(G108="",H108="",I108="",J108=""),"No data",IF(AND(G108&lt;=22,MAX(H108:J108)&lt;=105,(H108*I108*J108)/1000000&lt;=0.25),"Yes","Too big"))</f>
        <v/>
      </c>
      <c r="M108" s="10" t="inlineStr">
        <is>
          <t>/product/fitness-ball-storage-rack-wall-mounted</t>
        </is>
      </c>
    </row>
    <row r="109">
      <c r="A109" s="10" t="inlineStr">
        <is>
          <t>MEWMMA01</t>
        </is>
      </c>
      <c r="B109" s="10" t="inlineStr">
        <is>
          <t>Exercise Mat Hanging Rack (Wall Mounted)</t>
        </is>
      </c>
      <c r="C109" s="10" t="inlineStr">
        <is>
          <t>Equipment Storage</t>
        </is>
      </c>
      <c r="D109" s="11" t="inlineStr">
        <is>
          <t>Yes</t>
        </is>
      </c>
      <c r="E109" s="11" t="inlineStr"/>
      <c r="F109" s="11" t="inlineStr">
        <is>
          <t>No</t>
        </is>
      </c>
      <c r="G109" s="12" t="n">
        <v>5</v>
      </c>
      <c r="H109" s="12" t="n">
        <v>58</v>
      </c>
      <c r="I109" s="12" t="n">
        <v>11</v>
      </c>
      <c r="J109" s="12" t="n">
        <v>11</v>
      </c>
      <c r="K109" s="10">
        <f>TRIM(IF(F109="No","Features ","")&amp;IF(G109="","Weight ","")&amp;IF(OR(H109="",I109="",J109="")," Dimensions",""))</f>
        <v/>
      </c>
      <c r="L109" s="11">
        <f>IF(OR(G109="",H109="",I109="",J109=""),"No data",IF(AND(G109&lt;=22,MAX(H109:J109)&lt;=105,(H109*I109*J109)/1000000&lt;=0.25),"Yes","Too big"))</f>
        <v/>
      </c>
      <c r="M109" s="10" t="inlineStr">
        <is>
          <t>/product/exercise-mat-hanging-rack-wall-mounted</t>
        </is>
      </c>
    </row>
    <row r="110">
      <c r="A110" s="10" t="inlineStr">
        <is>
          <t>MEWMOP01</t>
        </is>
      </c>
      <c r="B110" s="10" t="inlineStr">
        <is>
          <t>Vertical Bumper Plate Rack 3 Tier (Wall Mounted)</t>
        </is>
      </c>
      <c r="C110" s="10" t="inlineStr">
        <is>
          <t>Equipment Storage</t>
        </is>
      </c>
      <c r="D110" s="11" t="inlineStr">
        <is>
          <t>Yes</t>
        </is>
      </c>
      <c r="E110" s="11" t="inlineStr"/>
      <c r="F110" s="11" t="inlineStr">
        <is>
          <t>No</t>
        </is>
      </c>
      <c r="G110" s="12" t="n">
        <v>13</v>
      </c>
      <c r="H110" s="12" t="n">
        <v>120</v>
      </c>
      <c r="I110" s="12" t="n">
        <v>38</v>
      </c>
      <c r="J110" s="12" t="n">
        <v>17</v>
      </c>
      <c r="K110" s="10">
        <f>TRIM(IF(F110="No","Features ","")&amp;IF(G110="","Weight ","")&amp;IF(OR(H110="",I110="",J110="")," Dimensions",""))</f>
        <v/>
      </c>
      <c r="L110" s="11">
        <f>IF(OR(G110="",H110="",I110="",J110=""),"No data",IF(AND(G110&lt;=22,MAX(H110:J110)&lt;=105,(H110*I110*J110)/1000000&lt;=0.25),"Yes","Too big"))</f>
        <v/>
      </c>
      <c r="M110" s="10" t="inlineStr">
        <is>
          <t>/product/vertical-bumper-plate-rack-3-tier-wall-mounted</t>
        </is>
      </c>
    </row>
    <row r="111">
      <c r="A111" s="10" t="inlineStr">
        <is>
          <t>MEWMRL01</t>
        </is>
      </c>
      <c r="B111" s="10" t="inlineStr">
        <is>
          <t>Foam Roller Storage Rack (Wall Mounted)</t>
        </is>
      </c>
      <c r="C111" s="10" t="inlineStr">
        <is>
          <t>Equipment Storage</t>
        </is>
      </c>
      <c r="D111" s="11" t="inlineStr">
        <is>
          <t>Yes</t>
        </is>
      </c>
      <c r="E111" s="11" t="inlineStr"/>
      <c r="F111" s="11" t="inlineStr">
        <is>
          <t>Yes</t>
        </is>
      </c>
      <c r="G111" s="12" t="n">
        <v>16</v>
      </c>
      <c r="H111" s="12" t="n">
        <v>132.5</v>
      </c>
      <c r="I111" s="12" t="n">
        <v>17.5</v>
      </c>
      <c r="J111" s="12" t="n">
        <v>21</v>
      </c>
      <c r="K111" s="10">
        <f>TRIM(IF(F111="No","Features ","")&amp;IF(G111="","Weight ","")&amp;IF(OR(H111="",I111="",J111="")," Dimensions",""))</f>
        <v/>
      </c>
      <c r="L111" s="11">
        <f>IF(OR(G111="",H111="",I111="",J111=""),"No data",IF(AND(G111&lt;=22,MAX(H111:J111)&lt;=105,(H111*I111*J111)/1000000&lt;=0.25),"Yes","Too big"))</f>
        <v/>
      </c>
      <c r="M111" s="10" t="inlineStr">
        <is>
          <t>/product/foam-roller-storage-rack-wall-mounted</t>
        </is>
      </c>
    </row>
    <row r="112">
      <c r="A112" s="10" t="inlineStr">
        <is>
          <t>MEWMRO01</t>
        </is>
      </c>
      <c r="B112" s="10" t="inlineStr">
        <is>
          <t>Battle Rope Storage (Wall Mounted)</t>
        </is>
      </c>
      <c r="C112" s="10" t="inlineStr">
        <is>
          <t>Equipment Storage</t>
        </is>
      </c>
      <c r="D112" s="11" t="inlineStr">
        <is>
          <t>Yes</t>
        </is>
      </c>
      <c r="E112" s="11" t="inlineStr"/>
      <c r="F112" s="11" t="inlineStr">
        <is>
          <t>No</t>
        </is>
      </c>
      <c r="G112" s="12" t="n">
        <v>4</v>
      </c>
      <c r="H112" s="12" t="n">
        <v>32.5</v>
      </c>
      <c r="I112" s="12" t="n">
        <v>6.5</v>
      </c>
      <c r="J112" s="12" t="n">
        <v>25</v>
      </c>
      <c r="K112" s="10">
        <f>TRIM(IF(F112="No","Features ","")&amp;IF(G112="","Weight ","")&amp;IF(OR(H112="",I112="",J112="")," Dimensions",""))</f>
        <v/>
      </c>
      <c r="L112" s="11">
        <f>IF(OR(G112="",H112="",I112="",J112=""),"No data",IF(AND(G112&lt;=22,MAX(H112:J112)&lt;=105,(H112*I112*J112)/1000000&lt;=0.25),"Yes","Too big"))</f>
        <v/>
      </c>
      <c r="M112" s="10" t="inlineStr">
        <is>
          <t>/product/battle-rope-storage-wall-mounted</t>
        </is>
      </c>
    </row>
    <row r="113">
      <c r="A113" s="10" t="inlineStr">
        <is>
          <t>MFRFRR-GROUP</t>
        </is>
      </c>
      <c r="B113" s="10" t="inlineStr">
        <is>
          <t>Impact Lock Rubber Tiles</t>
        </is>
      </c>
      <c r="C113" s="10" t="inlineStr">
        <is>
          <t>Flooring</t>
        </is>
      </c>
      <c r="D113" s="11" t="inlineStr">
        <is>
          <t>Yes</t>
        </is>
      </c>
      <c r="E113" s="11" t="inlineStr"/>
      <c r="F113" s="11" t="inlineStr">
        <is>
          <t>Yes</t>
        </is>
      </c>
      <c r="G113" s="12" t="n">
        <v>9</v>
      </c>
      <c r="H113" s="12" t="n">
        <v>100</v>
      </c>
      <c r="I113" s="12" t="n">
        <v>100</v>
      </c>
      <c r="J113" s="12" t="n">
        <v>1.2</v>
      </c>
      <c r="K113" s="10">
        <f>TRIM(IF(F113="No","Features ","")&amp;IF(G113="","Weight ","")&amp;IF(OR(H113="",I113="",J113="")," Dimensions",""))</f>
        <v/>
      </c>
      <c r="L113" s="11">
        <f>IF(OR(G113="",H113="",I113="",J113=""),"No data",IF(AND(G113&lt;=22,MAX(H113:J113)&lt;=105,(H113*I113*J113)/1000000&lt;=0.25),"Yes","Too big"))</f>
        <v/>
      </c>
      <c r="M113" s="10" t="inlineStr">
        <is>
          <t>/product/impact-lock-rubber-tiles</t>
        </is>
      </c>
    </row>
    <row r="114">
      <c r="A114" s="10" t="inlineStr">
        <is>
          <t>AMBXG01</t>
        </is>
      </c>
      <c r="B114" s="10" t="inlineStr">
        <is>
          <t>Cotton Inners (Fingerless, 100 Pair)</t>
        </is>
      </c>
      <c r="C114" s="10" t="inlineStr">
        <is>
          <t>Mixed Implements</t>
        </is>
      </c>
      <c r="D114" s="11" t="inlineStr">
        <is>
          <t>Yes</t>
        </is>
      </c>
      <c r="E114" s="11" t="inlineStr">
        <is>
          <t>Yes</t>
        </is>
      </c>
      <c r="F114" s="11" t="inlineStr">
        <is>
          <t>No</t>
        </is>
      </c>
      <c r="G114" s="12" t="n"/>
      <c r="H114" s="12" t="n"/>
      <c r="I114" s="12" t="n"/>
      <c r="J114" s="12" t="n"/>
      <c r="K114" s="10">
        <f>TRIM(IF(F114="No","Features ","")&amp;IF(G114="","Weight ","")&amp;IF(OR(H114="",I114="",J114="")," Dimensions",""))</f>
        <v/>
      </c>
      <c r="L114" s="11">
        <f>IF(OR(G114="",H114="",I114="",J114=""),"No data",IF(AND(G114&lt;=22,MAX(H114:J114)&lt;=105,(H114*I114*J114)/1000000&lt;=0.25),"Yes","Too big"))</f>
        <v/>
      </c>
      <c r="M114" s="10" t="inlineStr">
        <is>
          <t>/product/cotton-inners-fingerless</t>
        </is>
      </c>
    </row>
    <row r="115">
      <c r="A115" s="10" t="inlineStr">
        <is>
          <t>AMBXPBG03</t>
        </is>
      </c>
      <c r="B115" s="10" t="inlineStr">
        <is>
          <t>Aqua Punching Bag (Black)- 86kg</t>
        </is>
      </c>
      <c r="C115" s="10" t="inlineStr">
        <is>
          <t>Mixed Implements</t>
        </is>
      </c>
      <c r="D115" s="11" t="inlineStr">
        <is>
          <t>Yes</t>
        </is>
      </c>
      <c r="E115" s="11" t="inlineStr">
        <is>
          <t>Yes</t>
        </is>
      </c>
      <c r="F115" s="11" t="inlineStr">
        <is>
          <t>No</t>
        </is>
      </c>
      <c r="G115" s="12" t="n">
        <v>7</v>
      </c>
      <c r="H115" s="12" t="n">
        <v>67</v>
      </c>
      <c r="I115" s="12" t="n">
        <v>36</v>
      </c>
      <c r="J115" s="12" t="n">
        <v>22</v>
      </c>
      <c r="K115" s="10">
        <f>TRIM(IF(F115="No","Features ","")&amp;IF(G115="","Weight ","")&amp;IF(OR(H115="",I115="",J115="")," Dimensions",""))</f>
        <v/>
      </c>
      <c r="L115" s="11">
        <f>IF(OR(G115="",H115="",I115="",J115=""),"No data",IF(AND(G115&lt;=22,MAX(H115:J115)&lt;=105,(H115*I115*J115)/1000000&lt;=0.25),"Yes","Too big"))</f>
        <v/>
      </c>
      <c r="M115" s="10" t="inlineStr">
        <is>
          <t>/product/aqua-punching-bag-86kg-53cm-d</t>
        </is>
      </c>
    </row>
    <row r="116">
      <c r="A116" s="10" t="inlineStr">
        <is>
          <t>AMBXSY01</t>
        </is>
      </c>
      <c r="B116" s="10" t="inlineStr">
        <is>
          <t>Focus Pads</t>
        </is>
      </c>
      <c r="C116" s="10" t="inlineStr">
        <is>
          <t>Mixed Implements</t>
        </is>
      </c>
      <c r="D116" s="11" t="inlineStr">
        <is>
          <t>Yes</t>
        </is>
      </c>
      <c r="E116" s="11" t="inlineStr">
        <is>
          <t>Yes</t>
        </is>
      </c>
      <c r="F116" s="11" t="inlineStr">
        <is>
          <t>No</t>
        </is>
      </c>
      <c r="G116" s="12" t="n"/>
      <c r="H116" s="12" t="n"/>
      <c r="I116" s="12" t="n"/>
      <c r="J116" s="12" t="n"/>
      <c r="K116" s="10">
        <f>TRIM(IF(F116="No","Features ","")&amp;IF(G116="","Weight ","")&amp;IF(OR(H116="",I116="",J116="")," Dimensions",""))</f>
        <v/>
      </c>
      <c r="L116" s="11">
        <f>IF(OR(G116="",H116="",I116="",J116=""),"No data",IF(AND(G116&lt;=22,MAX(H116:J116)&lt;=105,(H116*I116*J116)/1000000&lt;=0.25),"Yes","Too big"))</f>
        <v/>
      </c>
      <c r="M116" s="10" t="inlineStr">
        <is>
          <t>/product/focus-pads</t>
        </is>
      </c>
    </row>
    <row r="117">
      <c r="A117" s="10" t="inlineStr">
        <is>
          <t>AMDBRH</t>
        </is>
      </c>
      <c r="B117" s="10" t="inlineStr">
        <is>
          <t>Rubber Hex Dumbbells</t>
        </is>
      </c>
      <c r="C117" s="10" t="inlineStr">
        <is>
          <t>Mixed Implements</t>
        </is>
      </c>
      <c r="D117" s="11" t="inlineStr">
        <is>
          <t>Yes</t>
        </is>
      </c>
      <c r="E117" s="11" t="inlineStr">
        <is>
          <t>Yes</t>
        </is>
      </c>
      <c r="F117" s="11" t="inlineStr">
        <is>
          <t>Yes</t>
        </is>
      </c>
      <c r="G117" s="12" t="n">
        <v>11</v>
      </c>
      <c r="H117" s="12" t="n"/>
      <c r="I117" s="12" t="n"/>
      <c r="J117" s="12" t="n"/>
      <c r="K117" s="10">
        <f>TRIM(IF(F117="No","Features ","")&amp;IF(G117="","Weight ","")&amp;IF(OR(H117="",I117="",J117="")," Dimensions",""))</f>
        <v/>
      </c>
      <c r="L117" s="11">
        <f>IF(OR(G117="",H117="",I117="",J117=""),"No data",IF(AND(G117&lt;=22,MAX(H117:J117)&lt;=105,(H117*I117*J117)/1000000&lt;=0.25),"Yes","Too big"))</f>
        <v/>
      </c>
      <c r="M117" s="10" t="inlineStr">
        <is>
          <t>/product/rubber-hex-dumbbell-alt-v</t>
        </is>
      </c>
    </row>
    <row r="118">
      <c r="A118" s="10" t="inlineStr">
        <is>
          <t>AMDEHG</t>
        </is>
      </c>
      <c r="B118" s="10" t="inlineStr">
        <is>
          <t>High Grip Dead Ball</t>
        </is>
      </c>
      <c r="C118" s="10" t="inlineStr">
        <is>
          <t>Mixed Implements</t>
        </is>
      </c>
      <c r="D118" s="11" t="inlineStr">
        <is>
          <t>Yes</t>
        </is>
      </c>
      <c r="E118" s="11" t="inlineStr">
        <is>
          <t>Yes</t>
        </is>
      </c>
      <c r="F118" s="11" t="inlineStr">
        <is>
          <t>Yes</t>
        </is>
      </c>
      <c r="G118" s="12" t="n">
        <v>13</v>
      </c>
      <c r="H118" s="12" t="n">
        <v>29</v>
      </c>
      <c r="I118" s="12" t="n">
        <v>29</v>
      </c>
      <c r="J118" s="12" t="n">
        <v>29</v>
      </c>
      <c r="K118" s="10">
        <f>TRIM(IF(F118="No","Features ","")&amp;IF(G118="","Weight ","")&amp;IF(OR(H118="",I118="",J118="")," Dimensions",""))</f>
        <v/>
      </c>
      <c r="L118" s="11">
        <f>IF(OR(G118="",H118="",I118="",J118=""),"No data",IF(AND(G118&lt;=22,MAX(H118:J118)&lt;=105,(H118*I118*J118)/1000000&lt;=0.25),"Yes","Too big"))</f>
        <v/>
      </c>
      <c r="M118" s="10" t="inlineStr">
        <is>
          <t>/product/high-grip-dead-ball-alt-v</t>
        </is>
      </c>
    </row>
    <row r="119">
      <c r="A119" s="10" t="inlineStr">
        <is>
          <t>AMKBUR-GROUP</t>
        </is>
      </c>
      <c r="B119" s="10" t="inlineStr">
        <is>
          <t>Urethane Competition Kettlebells (Single)</t>
        </is>
      </c>
      <c r="C119" s="10" t="inlineStr">
        <is>
          <t>Mixed Implements</t>
        </is>
      </c>
      <c r="D119" s="11" t="inlineStr">
        <is>
          <t>Yes</t>
        </is>
      </c>
      <c r="E119" s="11" t="inlineStr">
        <is>
          <t>Yes</t>
        </is>
      </c>
      <c r="F119" s="11" t="inlineStr">
        <is>
          <t>Yes</t>
        </is>
      </c>
      <c r="G119" s="12" t="n">
        <v>20</v>
      </c>
      <c r="H119" s="12" t="n">
        <v>22</v>
      </c>
      <c r="I119" s="12" t="n">
        <v>22</v>
      </c>
      <c r="J119" s="12" t="n">
        <v>29</v>
      </c>
      <c r="K119" s="10">
        <f>TRIM(IF(F119="No","Features ","")&amp;IF(G119="","Weight ","")&amp;IF(OR(H119="",I119="",J119="")," Dimensions",""))</f>
        <v/>
      </c>
      <c r="L119" s="11">
        <f>IF(OR(G119="",H119="",I119="",J119=""),"No data",IF(AND(G119&lt;=22,MAX(H119:J119)&lt;=105,(H119*I119*J119)/1000000&lt;=0.25),"Yes","Too big"))</f>
        <v/>
      </c>
      <c r="M119" s="10" t="inlineStr">
        <is>
          <t>/product/urethane-competition-kettlebells-single</t>
        </is>
      </c>
    </row>
    <row r="120">
      <c r="A120" s="10" t="inlineStr">
        <is>
          <t>MMBRNC01</t>
        </is>
      </c>
      <c r="B120" s="10" t="inlineStr">
        <is>
          <t>Battle Rope - 12m</t>
        </is>
      </c>
      <c r="C120" s="10" t="inlineStr">
        <is>
          <t>Mixed Implements</t>
        </is>
      </c>
      <c r="D120" s="11" t="inlineStr">
        <is>
          <t>Yes</t>
        </is>
      </c>
      <c r="E120" s="11" t="inlineStr"/>
      <c r="F120" s="11" t="inlineStr">
        <is>
          <t>No</t>
        </is>
      </c>
      <c r="G120" s="12" t="n">
        <v>12</v>
      </c>
      <c r="H120" s="12" t="n">
        <v>70</v>
      </c>
      <c r="I120" s="12" t="n">
        <v>25</v>
      </c>
      <c r="J120" s="12" t="n">
        <v>15</v>
      </c>
      <c r="K120" s="10">
        <f>TRIM(IF(F120="No","Features ","")&amp;IF(G120="","Weight ","")&amp;IF(OR(H120="",I120="",J120="")," Dimensions",""))</f>
        <v/>
      </c>
      <c r="L120" s="11">
        <f>IF(OR(G120="",H120="",I120="",J120=""),"No data",IF(AND(G120&lt;=22,MAX(H120:J120)&lt;=105,(H120*I120*J120)/1000000&lt;=0.25),"Yes","Too big"))</f>
        <v/>
      </c>
      <c r="M120" s="10" t="inlineStr">
        <is>
          <t>/product/battle-rope-12m</t>
        </is>
      </c>
    </row>
    <row r="121">
      <c r="A121" s="10" t="inlineStr">
        <is>
          <t>MMBXPBG05</t>
        </is>
      </c>
      <c r="B121" s="10" t="inlineStr">
        <is>
          <t>Aqua Punching Bag - 86kg (53cm D)</t>
        </is>
      </c>
      <c r="C121" s="10" t="inlineStr">
        <is>
          <t>Mixed Implements</t>
        </is>
      </c>
      <c r="D121" s="11" t="inlineStr">
        <is>
          <t>Yes</t>
        </is>
      </c>
      <c r="E121" s="11" t="inlineStr"/>
      <c r="F121" s="11" t="inlineStr">
        <is>
          <t>Yes</t>
        </is>
      </c>
      <c r="G121" s="12" t="n">
        <v>7</v>
      </c>
      <c r="H121" s="12" t="n">
        <v>67</v>
      </c>
      <c r="I121" s="12" t="n">
        <v>36</v>
      </c>
      <c r="J121" s="12" t="n">
        <v>22</v>
      </c>
      <c r="K121" s="10">
        <f>TRIM(IF(F121="No","Features ","")&amp;IF(G121="","Weight ","")&amp;IF(OR(H121="",I121="",J121="")," Dimensions",""))</f>
        <v/>
      </c>
      <c r="L121" s="11">
        <f>IF(OR(G121="",H121="",I121="",J121=""),"No data",IF(AND(G121&lt;=22,MAX(H121:J121)&lt;=105,(H121*I121*J121)/1000000&lt;=0.25),"Yes","Too big"))</f>
        <v/>
      </c>
      <c r="M121" s="10" t="inlineStr">
        <is>
          <t>/product/aqua-punching-bag-86kg-53cm-d-2</t>
        </is>
      </c>
    </row>
    <row r="122">
      <c r="A122" s="10" t="inlineStr">
        <is>
          <t>MMDBPRH-GROUP</t>
        </is>
      </c>
      <c r="B122" s="10" t="inlineStr">
        <is>
          <t>Premium Rubber Hex Dumbbell</t>
        </is>
      </c>
      <c r="C122" s="10" t="inlineStr">
        <is>
          <t>Mixed Implements</t>
        </is>
      </c>
      <c r="D122" s="11" t="inlineStr">
        <is>
          <t>Yes</t>
        </is>
      </c>
      <c r="E122" s="11" t="inlineStr"/>
      <c r="F122" s="11" t="inlineStr">
        <is>
          <t>Yes</t>
        </is>
      </c>
      <c r="G122" s="12" t="n">
        <v>11</v>
      </c>
      <c r="H122" s="12" t="n"/>
      <c r="I122" s="12" t="n">
        <v>14</v>
      </c>
      <c r="J122" s="12" t="n">
        <v>12.5</v>
      </c>
      <c r="K122" s="10">
        <f>TRIM(IF(F122="No","Features ","")&amp;IF(G122="","Weight ","")&amp;IF(OR(H122="",I122="",J122="")," Dimensions",""))</f>
        <v/>
      </c>
      <c r="L122" s="11">
        <f>IF(OR(G122="",H122="",I122="",J122=""),"No data",IF(AND(G122&lt;=22,MAX(H122:J122)&lt;=105,(H122*I122*J122)/1000000&lt;=0.25),"Yes","Too big"))</f>
        <v/>
      </c>
      <c r="M122" s="10" t="inlineStr">
        <is>
          <t>/product/premium-rubber-hex-dumbbell-3</t>
        </is>
      </c>
    </row>
    <row r="123">
      <c r="A123" s="10" t="inlineStr">
        <is>
          <t>MMDBRH-GROUP</t>
        </is>
      </c>
      <c r="B123" s="10" t="inlineStr">
        <is>
          <t>Rubber Hex Dumbbells</t>
        </is>
      </c>
      <c r="C123" s="10" t="inlineStr">
        <is>
          <t>Mixed Implements</t>
        </is>
      </c>
      <c r="D123" s="11" t="inlineStr">
        <is>
          <t>Yes</t>
        </is>
      </c>
      <c r="E123" s="11" t="inlineStr"/>
      <c r="F123" s="11" t="inlineStr">
        <is>
          <t>Yes</t>
        </is>
      </c>
      <c r="G123" s="12" t="n"/>
      <c r="H123" s="12" t="n"/>
      <c r="I123" s="12" t="n"/>
      <c r="J123" s="12" t="n"/>
      <c r="K123" s="10">
        <f>TRIM(IF(F123="No","Features ","")&amp;IF(G123="","Weight ","")&amp;IF(OR(H123="",I123="",J123="")," Dimensions",""))</f>
        <v/>
      </c>
      <c r="L123" s="11">
        <f>IF(OR(G123="",H123="",I123="",J123=""),"No data",IF(AND(G123&lt;=22,MAX(H123:J123)&lt;=105,(H123*I123*J123)/1000000&lt;=0.25),"Yes","Too big"))</f>
        <v/>
      </c>
      <c r="M123" s="10" t="inlineStr">
        <is>
          <t>/product/rubber-hex-dumbbell-group</t>
        </is>
      </c>
    </row>
    <row r="124">
      <c r="A124" s="10" t="inlineStr">
        <is>
          <t>MMDBUR-GROUP</t>
        </is>
      </c>
      <c r="B124" s="10" t="inlineStr">
        <is>
          <t>Urethane Fixed Dumbbells</t>
        </is>
      </c>
      <c r="C124" s="10" t="inlineStr">
        <is>
          <t>Mixed Implements</t>
        </is>
      </c>
      <c r="D124" s="11" t="inlineStr">
        <is>
          <t>Yes</t>
        </is>
      </c>
      <c r="E124" s="11" t="inlineStr"/>
      <c r="F124" s="11" t="inlineStr">
        <is>
          <t>Yes</t>
        </is>
      </c>
      <c r="G124" s="12" t="n">
        <v>11</v>
      </c>
      <c r="H124" s="12" t="n">
        <v>25</v>
      </c>
      <c r="I124" s="12" t="n">
        <v>16.3</v>
      </c>
      <c r="J124" s="12" t="n">
        <v>16.3</v>
      </c>
      <c r="K124" s="10">
        <f>TRIM(IF(F124="No","Features ","")&amp;IF(G124="","Weight ","")&amp;IF(OR(H124="",I124="",J124="")," Dimensions",""))</f>
        <v/>
      </c>
      <c r="L124" s="11">
        <f>IF(OR(G124="",H124="",I124="",J124=""),"No data",IF(AND(G124&lt;=22,MAX(H124:J124)&lt;=105,(H124*I124*J124)/1000000&lt;=0.25),"Yes","Too big"))</f>
        <v/>
      </c>
      <c r="M124" s="10" t="inlineStr">
        <is>
          <t>/product/urethane-fixed-dumbbells-2</t>
        </is>
      </c>
    </row>
    <row r="125">
      <c r="A125" s="10" t="inlineStr">
        <is>
          <t>MMDBVR-GROUP</t>
        </is>
      </c>
      <c r="B125" s="10" t="inlineStr">
        <is>
          <t>Virgin Rubber Fixed Dumbbells</t>
        </is>
      </c>
      <c r="C125" s="10" t="inlineStr">
        <is>
          <t>Mixed Implements</t>
        </is>
      </c>
      <c r="D125" s="11" t="inlineStr">
        <is>
          <t>Yes</t>
        </is>
      </c>
      <c r="E125" s="11" t="inlineStr"/>
      <c r="F125" s="11" t="inlineStr">
        <is>
          <t>Yes</t>
        </is>
      </c>
      <c r="G125" s="12" t="n">
        <v>11</v>
      </c>
      <c r="H125" s="12" t="n">
        <v>25</v>
      </c>
      <c r="I125" s="12" t="n">
        <v>16.3</v>
      </c>
      <c r="J125" s="12" t="n">
        <v>16.3</v>
      </c>
      <c r="K125" s="10">
        <f>TRIM(IF(F125="No","Features ","")&amp;IF(G125="","Weight ","")&amp;IF(OR(H125="",I125="",J125="")," Dimensions",""))</f>
        <v/>
      </c>
      <c r="L125" s="11">
        <f>IF(OR(G125="",H125="",I125="",J125=""),"No data",IF(AND(G125&lt;=22,MAX(H125:J125)&lt;=105,(H125*I125*J125)/1000000&lt;=0.25),"Yes","Too big"))</f>
        <v/>
      </c>
      <c r="M125" s="10" t="inlineStr">
        <is>
          <t>/product/virgin-rubber-fixed-dumbbells</t>
        </is>
      </c>
    </row>
    <row r="126">
      <c r="A126" s="10" t="inlineStr">
        <is>
          <t>MMDEHG-GROUP</t>
        </is>
      </c>
      <c r="B126" s="10" t="inlineStr">
        <is>
          <t>High Grip Dead Ball</t>
        </is>
      </c>
      <c r="C126" s="10" t="inlineStr">
        <is>
          <t>Mixed Implements</t>
        </is>
      </c>
      <c r="D126" s="11" t="inlineStr">
        <is>
          <t>Yes</t>
        </is>
      </c>
      <c r="E126" s="11" t="inlineStr"/>
      <c r="F126" s="11" t="inlineStr">
        <is>
          <t>Yes</t>
        </is>
      </c>
      <c r="G126" s="12" t="n">
        <v>13</v>
      </c>
      <c r="H126" s="12" t="n">
        <v>29</v>
      </c>
      <c r="I126" s="12" t="n">
        <v>29</v>
      </c>
      <c r="J126" s="12" t="n">
        <v>29</v>
      </c>
      <c r="K126" s="10">
        <f>TRIM(IF(F126="No","Features ","")&amp;IF(G126="","Weight ","")&amp;IF(OR(H126="",I126="",J126="")," Dimensions",""))</f>
        <v/>
      </c>
      <c r="L126" s="11">
        <f>IF(OR(G126="",H126="",I126="",J126=""),"No data",IF(AND(G126&lt;=22,MAX(H126:J126)&lt;=105,(H126*I126*J126)/1000000&lt;=0.25),"Yes","Too big"))</f>
        <v/>
      </c>
      <c r="M126" s="10" t="inlineStr">
        <is>
          <t>/product/high-grip-dead-ball-4</t>
        </is>
      </c>
    </row>
    <row r="127">
      <c r="A127" s="10" t="inlineStr">
        <is>
          <t>MMDESH-GROUP</t>
        </is>
      </c>
      <c r="B127" s="10" t="inlineStr">
        <is>
          <t>Dead Balls</t>
        </is>
      </c>
      <c r="C127" s="10" t="inlineStr">
        <is>
          <t>Mixed Implements</t>
        </is>
      </c>
      <c r="D127" s="11" t="inlineStr">
        <is>
          <t>Yes</t>
        </is>
      </c>
      <c r="E127" s="11" t="inlineStr"/>
      <c r="F127" s="11" t="inlineStr">
        <is>
          <t>Yes</t>
        </is>
      </c>
      <c r="G127" s="12" t="n">
        <v>13</v>
      </c>
      <c r="H127" s="12" t="n">
        <v>26</v>
      </c>
      <c r="I127" s="12" t="n">
        <v>26</v>
      </c>
      <c r="J127" s="12" t="n">
        <v>26</v>
      </c>
      <c r="K127" s="10">
        <f>TRIM(IF(F127="No","Features ","")&amp;IF(G127="","Weight ","")&amp;IF(OR(H127="",I127="",J127="")," Dimensions",""))</f>
        <v/>
      </c>
      <c r="L127" s="11">
        <f>IF(OR(G127="",H127="",I127="",J127=""),"No data",IF(AND(G127&lt;=22,MAX(H127:J127)&lt;=105,(H127*I127*J127)/1000000&lt;=0.25),"Yes","Too big"))</f>
        <v/>
      </c>
      <c r="M127" s="10" t="inlineStr">
        <is>
          <t>/product/dead-ball-2</t>
        </is>
      </c>
    </row>
    <row r="128">
      <c r="A128" s="10" t="inlineStr">
        <is>
          <t>MMFWTL01</t>
        </is>
      </c>
      <c r="B128" s="10" t="inlineStr">
        <is>
          <t>Farmers Walk Handles (Pair)</t>
        </is>
      </c>
      <c r="C128" s="10" t="inlineStr">
        <is>
          <t>Mixed Implements</t>
        </is>
      </c>
      <c r="D128" s="11" t="inlineStr">
        <is>
          <t>Yes</t>
        </is>
      </c>
      <c r="E128" s="11" t="inlineStr"/>
      <c r="F128" s="11" t="inlineStr">
        <is>
          <t>Yes</t>
        </is>
      </c>
      <c r="G128" s="12" t="n">
        <v>26</v>
      </c>
      <c r="H128" s="12" t="n">
        <v>182</v>
      </c>
      <c r="I128" s="12" t="n">
        <v>13</v>
      </c>
      <c r="J128" s="12" t="n">
        <v>23</v>
      </c>
      <c r="K128" s="10">
        <f>TRIM(IF(F128="No","Features ","")&amp;IF(G128="","Weight ","")&amp;IF(OR(H128="",I128="",J128="")," Dimensions",""))</f>
        <v/>
      </c>
      <c r="L128" s="11">
        <f>IF(OR(G128="",H128="",I128="",J128=""),"No data",IF(AND(G128&lt;=22,MAX(H128:J128)&lt;=105,(H128*I128*J128)/1000000&lt;=0.25),"Yes","Too big"))</f>
        <v/>
      </c>
      <c r="M128" s="10" t="inlineStr">
        <is>
          <t>/product/farmers-walk-handles-pair</t>
        </is>
      </c>
    </row>
    <row r="129">
      <c r="A129" s="10" t="inlineStr">
        <is>
          <t>MMGFACC01</t>
        </is>
      </c>
      <c r="B129" s="10" t="inlineStr">
        <is>
          <t>Digital Interval Timer</t>
        </is>
      </c>
      <c r="C129" s="10" t="inlineStr">
        <is>
          <t>Mixed Implements</t>
        </is>
      </c>
      <c r="D129" s="11" t="inlineStr">
        <is>
          <t>Yes</t>
        </is>
      </c>
      <c r="E129" s="11" t="inlineStr"/>
      <c r="F129" s="11" t="inlineStr">
        <is>
          <t>Yes</t>
        </is>
      </c>
      <c r="G129" s="12" t="n">
        <v>4</v>
      </c>
      <c r="H129" s="12" t="n">
        <v>87</v>
      </c>
      <c r="I129" s="12" t="n">
        <v>17</v>
      </c>
      <c r="J129" s="12" t="n">
        <v>6</v>
      </c>
      <c r="K129" s="10">
        <f>TRIM(IF(F129="No","Features ","")&amp;IF(G129="","Weight ","")&amp;IF(OR(H129="",I129="",J129="")," Dimensions",""))</f>
        <v/>
      </c>
      <c r="L129" s="11">
        <f>IF(OR(G129="",H129="",I129="",J129=""),"No data",IF(AND(G129&lt;=22,MAX(H129:J129)&lt;=105,(H129*I129*J129)/1000000&lt;=0.25),"Yes","Too big"))</f>
        <v/>
      </c>
      <c r="M129" s="10" t="inlineStr">
        <is>
          <t>/product/digital-interval-timer</t>
        </is>
      </c>
    </row>
    <row r="130">
      <c r="A130" s="10" t="inlineStr">
        <is>
          <t>MMGFPS01</t>
        </is>
      </c>
      <c r="B130" s="10" t="inlineStr">
        <is>
          <t>Group Fitness Barbell Set - Collars (Pair)</t>
        </is>
      </c>
      <c r="C130" s="10" t="inlineStr">
        <is>
          <t>Mixed Implements</t>
        </is>
      </c>
      <c r="D130" s="11" t="inlineStr">
        <is>
          <t>Yes</t>
        </is>
      </c>
      <c r="E130" s="11" t="inlineStr"/>
      <c r="F130" s="11" t="inlineStr">
        <is>
          <t>No</t>
        </is>
      </c>
      <c r="G130" s="12" t="n">
        <v>1</v>
      </c>
      <c r="H130" s="12" t="n">
        <v>4</v>
      </c>
      <c r="I130" s="12" t="n">
        <v>4</v>
      </c>
      <c r="J130" s="12" t="n">
        <v>2.5</v>
      </c>
      <c r="K130" s="10">
        <f>TRIM(IF(F130="No","Features ","")&amp;IF(G130="","Weight ","")&amp;IF(OR(H130="",I130="",J130="")," Dimensions",""))</f>
        <v/>
      </c>
      <c r="L130" s="11">
        <f>IF(OR(G130="",H130="",I130="",J130=""),"No data",IF(AND(G130&lt;=22,MAX(H130:J130)&lt;=105,(H130*I130*J130)/1000000&lt;=0.25),"Yes","Too big"))</f>
        <v/>
      </c>
      <c r="M130" s="10" t="inlineStr">
        <is>
          <t>/product/group-fitness-barbell-set-collars-pair</t>
        </is>
      </c>
    </row>
    <row r="131">
      <c r="A131" s="10" t="inlineStr">
        <is>
          <t>MMGFPS02</t>
        </is>
      </c>
      <c r="B131" s="10" t="inlineStr">
        <is>
          <t>Group Fitness Barbell Set - 37.5kg</t>
        </is>
      </c>
      <c r="C131" s="10" t="inlineStr">
        <is>
          <t>Mixed Implements</t>
        </is>
      </c>
      <c r="D131" s="11" t="inlineStr">
        <is>
          <t>Yes</t>
        </is>
      </c>
      <c r="E131" s="11" t="inlineStr"/>
      <c r="F131" s="11" t="inlineStr">
        <is>
          <t>No</t>
        </is>
      </c>
      <c r="G131" s="12" t="n">
        <v>39</v>
      </c>
      <c r="H131" s="12" t="n">
        <v>52</v>
      </c>
      <c r="I131" s="12" t="n">
        <v>26</v>
      </c>
      <c r="J131" s="12" t="n">
        <v>15.5</v>
      </c>
      <c r="K131" s="10">
        <f>TRIM(IF(F131="No","Features ","")&amp;IF(G131="","Weight ","")&amp;IF(OR(H131="",I131="",J131="")," Dimensions",""))</f>
        <v/>
      </c>
      <c r="L131" s="11">
        <f>IF(OR(G131="",H131="",I131="",J131=""),"No data",IF(AND(G131&lt;=22,MAX(H131:J131)&lt;=105,(H131*I131*J131)/1000000&lt;=0.25),"Yes","Too big"))</f>
        <v/>
      </c>
      <c r="M131" s="10" t="inlineStr">
        <is>
          <t>/product/group-fitness-barbell-set-37-5kg</t>
        </is>
      </c>
    </row>
    <row r="132">
      <c r="A132" s="10" t="inlineStr">
        <is>
          <t>MMGFPS03</t>
        </is>
      </c>
      <c r="B132" s="10" t="inlineStr">
        <is>
          <t>Group Fitness Barbell Set - 17.5kg</t>
        </is>
      </c>
      <c r="C132" s="10" t="inlineStr">
        <is>
          <t>Mixed Implements</t>
        </is>
      </c>
      <c r="D132" s="11" t="inlineStr">
        <is>
          <t>Yes</t>
        </is>
      </c>
      <c r="E132" s="11" t="inlineStr"/>
      <c r="F132" s="11" t="inlineStr">
        <is>
          <t>Yes</t>
        </is>
      </c>
      <c r="G132" s="12" t="n">
        <v>19</v>
      </c>
      <c r="H132" s="12" t="n">
        <v>52</v>
      </c>
      <c r="I132" s="12" t="n">
        <v>26</v>
      </c>
      <c r="J132" s="12" t="n">
        <v>15.5</v>
      </c>
      <c r="K132" s="10">
        <f>TRIM(IF(F132="No","Features ","")&amp;IF(G132="","Weight ","")&amp;IF(OR(H132="",I132="",J132="")," Dimensions",""))</f>
        <v/>
      </c>
      <c r="L132" s="11">
        <f>IF(OR(G132="",H132="",I132="",J132=""),"No data",IF(AND(G132&lt;=22,MAX(H132:J132)&lt;=105,(H132*I132*J132)/1000000&lt;=0.25),"Yes","Too big"))</f>
        <v/>
      </c>
      <c r="M132" s="10" t="inlineStr">
        <is>
          <t>/product/group-fitness-barbell-set-17-5kg</t>
        </is>
      </c>
    </row>
    <row r="133">
      <c r="A133" s="10" t="inlineStr">
        <is>
          <t>MMKBPGC-GROUP</t>
        </is>
      </c>
      <c r="B133" s="10" t="inlineStr">
        <is>
          <t>Competition Kettlebells</t>
        </is>
      </c>
      <c r="C133" s="10" t="inlineStr">
        <is>
          <t>Mixed Implements</t>
        </is>
      </c>
      <c r="D133" s="11" t="inlineStr">
        <is>
          <t>Yes</t>
        </is>
      </c>
      <c r="E133" s="11" t="inlineStr"/>
      <c r="F133" s="11" t="inlineStr">
        <is>
          <t>Yes</t>
        </is>
      </c>
      <c r="G133" s="12" t="n"/>
      <c r="H133" s="12" t="n"/>
      <c r="I133" s="12" t="n"/>
      <c r="J133" s="12" t="n"/>
      <c r="K133" s="10">
        <f>TRIM(IF(F133="No","Features ","")&amp;IF(G133="","Weight ","")&amp;IF(OR(H133="",I133="",J133="")," Dimensions",""))</f>
        <v/>
      </c>
      <c r="L133" s="11">
        <f>IF(OR(G133="",H133="",I133="",J133=""),"No data",IF(AND(G133&lt;=22,MAX(H133:J133)&lt;=105,(H133*I133*J133)/1000000&lt;=0.25),"Yes","Too big"))</f>
        <v/>
      </c>
      <c r="M133" s="10" t="inlineStr">
        <is>
          <t>/product/competition-kettlebells</t>
        </is>
      </c>
    </row>
    <row r="134">
      <c r="A134" s="10" t="inlineStr">
        <is>
          <t>MMKBUR-GROUP</t>
        </is>
      </c>
      <c r="B134" s="10" t="inlineStr">
        <is>
          <t>Urethane Competition Kettlebells (Single)</t>
        </is>
      </c>
      <c r="C134" s="10" t="inlineStr">
        <is>
          <t>Mixed Implements</t>
        </is>
      </c>
      <c r="D134" s="11" t="inlineStr">
        <is>
          <t>Yes</t>
        </is>
      </c>
      <c r="E134" s="11" t="inlineStr"/>
      <c r="F134" s="11" t="inlineStr">
        <is>
          <t>Yes</t>
        </is>
      </c>
      <c r="G134" s="12" t="n">
        <v>11</v>
      </c>
      <c r="H134" s="12" t="n">
        <v>22</v>
      </c>
      <c r="I134" s="12" t="n">
        <v>22</v>
      </c>
      <c r="J134" s="12" t="n">
        <v>29</v>
      </c>
      <c r="K134" s="10">
        <f>TRIM(IF(F134="No","Features ","")&amp;IF(G134="","Weight ","")&amp;IF(OR(H134="",I134="",J134="")," Dimensions",""))</f>
        <v/>
      </c>
      <c r="L134" s="11">
        <f>IF(OR(G134="",H134="",I134="",J134=""),"No data",IF(AND(G134&lt;=22,MAX(H134:J134)&lt;=105,(H134*I134*J134)/1000000&lt;=0.25),"Yes","Too big"))</f>
        <v/>
      </c>
      <c r="M134" s="10" t="inlineStr">
        <is>
          <t>/product/urethane-competition-kettlebell-3</t>
        </is>
      </c>
    </row>
    <row r="135">
      <c r="A135" s="10" t="inlineStr">
        <is>
          <t>MMMBPR-GROUP</t>
        </is>
      </c>
      <c r="B135" s="10" t="inlineStr">
        <is>
          <t>Medicine Ball</t>
        </is>
      </c>
      <c r="C135" s="10" t="inlineStr">
        <is>
          <t>Mixed Implements</t>
        </is>
      </c>
      <c r="D135" s="11" t="inlineStr">
        <is>
          <t>Yes</t>
        </is>
      </c>
      <c r="E135" s="11" t="inlineStr"/>
      <c r="F135" s="11" t="inlineStr">
        <is>
          <t>Yes</t>
        </is>
      </c>
      <c r="G135" s="12" t="n">
        <v>11</v>
      </c>
      <c r="H135" s="12" t="n">
        <v>31.5</v>
      </c>
      <c r="I135" s="12" t="n">
        <v>31.5</v>
      </c>
      <c r="J135" s="12" t="n">
        <v>31.5</v>
      </c>
      <c r="K135" s="10">
        <f>TRIM(IF(F135="No","Features ","")&amp;IF(G135="","Weight ","")&amp;IF(OR(H135="",I135="",J135="")," Dimensions",""))</f>
        <v/>
      </c>
      <c r="L135" s="11">
        <f>IF(OR(G135="",H135="",I135="",J135=""),"No data",IF(AND(G135&lt;=22,MAX(H135:J135)&lt;=105,(H135*I135*J135)/1000000&lt;=0.25),"Yes","Too big"))</f>
        <v/>
      </c>
      <c r="M135" s="10" t="inlineStr">
        <is>
          <t>/product/medicine-ball-2</t>
        </is>
      </c>
    </row>
    <row r="136">
      <c r="A136" s="10" t="inlineStr">
        <is>
          <t>MMPWPBG-GROUP</t>
        </is>
      </c>
      <c r="B136" s="10" t="inlineStr">
        <is>
          <t>Power Bag</t>
        </is>
      </c>
      <c r="C136" s="10" t="inlineStr">
        <is>
          <t>Mixed Implements</t>
        </is>
      </c>
      <c r="D136" s="11" t="inlineStr">
        <is>
          <t>Yes</t>
        </is>
      </c>
      <c r="E136" s="11" t="inlineStr"/>
      <c r="F136" s="11" t="inlineStr">
        <is>
          <t>Yes</t>
        </is>
      </c>
      <c r="G136" s="12" t="n">
        <v>11</v>
      </c>
      <c r="H136" s="12" t="n">
        <v>54</v>
      </c>
      <c r="I136" s="12" t="n">
        <v>22.5</v>
      </c>
      <c r="J136" s="12" t="n">
        <v>22.5</v>
      </c>
      <c r="K136" s="10">
        <f>TRIM(IF(F136="No","Features ","")&amp;IF(G136="","Weight ","")&amp;IF(OR(H136="",I136="",J136="")," Dimensions",""))</f>
        <v/>
      </c>
      <c r="L136" s="11">
        <f>IF(OR(G136="",H136="",I136="",J136=""),"No data",IF(AND(G136&lt;=22,MAX(H136:J136)&lt;=105,(H136*I136*J136)/1000000&lt;=0.25),"Yes","Too big"))</f>
        <v/>
      </c>
      <c r="M136" s="10" t="inlineStr">
        <is>
          <t>/product/power-bag-2</t>
        </is>
      </c>
    </row>
    <row r="137">
      <c r="A137" s="10" t="inlineStr">
        <is>
          <t>MMPWPBG05</t>
        </is>
      </c>
      <c r="B137" s="10" t="inlineStr">
        <is>
          <t>Aqua Bag - 35kg</t>
        </is>
      </c>
      <c r="C137" s="10" t="inlineStr">
        <is>
          <t>Mixed Implements</t>
        </is>
      </c>
      <c r="D137" s="11" t="inlineStr">
        <is>
          <t>Yes</t>
        </is>
      </c>
      <c r="E137" s="11" t="inlineStr"/>
      <c r="F137" s="11" t="inlineStr">
        <is>
          <t>No</t>
        </is>
      </c>
      <c r="G137" s="12" t="n">
        <v>5</v>
      </c>
      <c r="H137" s="12" t="n">
        <v>20</v>
      </c>
      <c r="I137" s="12" t="n">
        <v>20</v>
      </c>
      <c r="J137" s="12" t="n">
        <v>20</v>
      </c>
      <c r="K137" s="10">
        <f>TRIM(IF(F137="No","Features ","")&amp;IF(G137="","Weight ","")&amp;IF(OR(H137="",I137="",J137="")," Dimensions",""))</f>
        <v/>
      </c>
      <c r="L137" s="11">
        <f>IF(OR(G137="",H137="",I137="",J137=""),"No data",IF(AND(G137&lt;=22,MAX(H137:J137)&lt;=105,(H137*I137*J137)/1000000&lt;=0.25),"Yes","Too big"))</f>
        <v/>
      </c>
      <c r="M137" s="10" t="inlineStr">
        <is>
          <t>/product/aqua-bag-35kg</t>
        </is>
      </c>
    </row>
    <row r="138">
      <c r="A138" s="10" t="inlineStr">
        <is>
          <t>MMSLSD01</t>
        </is>
      </c>
      <c r="B138" s="10" t="inlineStr">
        <is>
          <t>Push &amp;amp; Pull Sled</t>
        </is>
      </c>
      <c r="C138" s="10" t="inlineStr">
        <is>
          <t>Mixed Implements</t>
        </is>
      </c>
      <c r="D138" s="11" t="inlineStr">
        <is>
          <t>Yes</t>
        </is>
      </c>
      <c r="E138" s="11" t="inlineStr"/>
      <c r="F138" s="11" t="inlineStr">
        <is>
          <t>No</t>
        </is>
      </c>
      <c r="G138" s="12" t="n">
        <v>37</v>
      </c>
      <c r="H138" s="12" t="n">
        <v>94.5</v>
      </c>
      <c r="I138" s="12" t="n">
        <v>67</v>
      </c>
      <c r="J138" s="12" t="n">
        <v>19</v>
      </c>
      <c r="K138" s="10">
        <f>TRIM(IF(F138="No","Features ","")&amp;IF(G138="","Weight ","")&amp;IF(OR(H138="",I138="",J138="")," Dimensions",""))</f>
        <v/>
      </c>
      <c r="L138" s="11">
        <f>IF(OR(G138="",H138="",I138="",J138=""),"No data",IF(AND(G138&lt;=22,MAX(H138:J138)&lt;=105,(H138*I138*J138)/1000000&lt;=0.25),"Yes","Too big"))</f>
        <v/>
      </c>
      <c r="M138" s="10" t="inlineStr">
        <is>
          <t>/product/push-pull-sled</t>
        </is>
      </c>
    </row>
    <row r="139">
      <c r="A139" s="10" t="inlineStr">
        <is>
          <t>MMWAARM-GROUP</t>
        </is>
      </c>
      <c r="B139" s="10" t="inlineStr">
        <is>
          <t>Wall Ball</t>
        </is>
      </c>
      <c r="C139" s="10" t="inlineStr">
        <is>
          <t>Mixed Implements</t>
        </is>
      </c>
      <c r="D139" s="11" t="inlineStr">
        <is>
          <t>Yes</t>
        </is>
      </c>
      <c r="E139" s="11" t="inlineStr"/>
      <c r="F139" s="11" t="inlineStr">
        <is>
          <t>Yes</t>
        </is>
      </c>
      <c r="G139" s="12" t="n">
        <v>7</v>
      </c>
      <c r="H139" s="12" t="n">
        <v>36.6</v>
      </c>
      <c r="I139" s="12" t="n">
        <v>36.6</v>
      </c>
      <c r="J139" s="12" t="n">
        <v>36.6</v>
      </c>
      <c r="K139" s="10">
        <f>TRIM(IF(F139="No","Features ","")&amp;IF(G139="","Weight ","")&amp;IF(OR(H139="",I139="",J139="")," Dimensions",""))</f>
        <v/>
      </c>
      <c r="L139" s="11">
        <f>IF(OR(G139="",H139="",I139="",J139=""),"No data",IF(AND(G139&lt;=22,MAX(H139:J139)&lt;=105,(H139*I139*J139)/1000000&lt;=0.25),"Yes","Too big"))</f>
        <v/>
      </c>
      <c r="M139" s="10" t="inlineStr">
        <is>
          <t>/product/wall-ball-3</t>
        </is>
      </c>
    </row>
    <row r="140">
      <c r="A140" s="10" t="inlineStr">
        <is>
          <t>MMPA25001</t>
        </is>
      </c>
      <c r="B140" s="10" t="inlineStr">
        <is>
          <t>Competition Kettlebells (Set of 12) - 250kg &amp; Rack</t>
        </is>
      </c>
      <c r="C140" s="10" t="inlineStr">
        <is>
          <t>Packages</t>
        </is>
      </c>
      <c r="D140" s="11" t="inlineStr">
        <is>
          <t>Yes</t>
        </is>
      </c>
      <c r="E140" s="11" t="inlineStr"/>
      <c r="F140" s="11" t="inlineStr">
        <is>
          <t>Yes</t>
        </is>
      </c>
      <c r="G140" s="12" t="n">
        <v>300</v>
      </c>
      <c r="H140" s="12" t="n">
        <v>63</v>
      </c>
      <c r="I140" s="12" t="n">
        <v>42</v>
      </c>
      <c r="J140" s="12" t="n">
        <v>56</v>
      </c>
      <c r="K140" s="10">
        <f>TRIM(IF(F140="No","Features ","")&amp;IF(G140="","Weight ","")&amp;IF(OR(H140="",I140="",J140="")," Dimensions",""))</f>
        <v/>
      </c>
      <c r="L140" s="11">
        <f>IF(OR(G140="",H140="",I140="",J140=""),"No data",IF(AND(G140&lt;=22,MAX(H140:J140)&lt;=105,(H140*I140*J140)/1000000&lt;=0.25),"Yes","Too big"))</f>
        <v/>
      </c>
      <c r="M140" s="10" t="inlineStr">
        <is>
          <t>/product/competition-kettlebells-set-of-12-250kg-rack</t>
        </is>
      </c>
    </row>
    <row r="141">
      <c r="A141" s="10" t="inlineStr">
        <is>
          <t>MMPA3601</t>
        </is>
      </c>
      <c r="B141" s="10" t="inlineStr">
        <is>
          <t>Competition Kettlebells (Set of 3) - 36kg</t>
        </is>
      </c>
      <c r="C141" s="10" t="inlineStr">
        <is>
          <t>Packages</t>
        </is>
      </c>
      <c r="D141" s="11" t="inlineStr">
        <is>
          <t>Yes</t>
        </is>
      </c>
      <c r="E141" s="11" t="inlineStr"/>
      <c r="F141" s="11" t="inlineStr">
        <is>
          <t>Yes</t>
        </is>
      </c>
      <c r="G141" s="12" t="n">
        <v>38</v>
      </c>
      <c r="H141" s="12" t="n">
        <v>69</v>
      </c>
      <c r="I141" s="12" t="n">
        <v>23</v>
      </c>
      <c r="J141" s="12" t="n">
        <v>31</v>
      </c>
      <c r="K141" s="10">
        <f>TRIM(IF(F141="No","Features ","")&amp;IF(G141="","Weight ","")&amp;IF(OR(H141="",I141="",J141="")," Dimensions",""))</f>
        <v/>
      </c>
      <c r="L141" s="11">
        <f>IF(OR(G141="",H141="",I141="",J141=""),"No data",IF(AND(G141&lt;=22,MAX(H141:J141)&lt;=105,(H141*I141*J141)/1000000&lt;=0.25),"Yes","Too big"))</f>
        <v/>
      </c>
      <c r="M141" s="10" t="inlineStr">
        <is>
          <t>/product/competition-kettlebells-set-of-3-36kg</t>
        </is>
      </c>
    </row>
    <row r="142">
      <c r="A142" s="10" t="inlineStr">
        <is>
          <t>MMPA4BG01</t>
        </is>
      </c>
      <c r="B142" s="10" t="inlineStr">
        <is>
          <t>Power Bags (Set of 4) - 70kg</t>
        </is>
      </c>
      <c r="C142" s="10" t="inlineStr">
        <is>
          <t>Packages</t>
        </is>
      </c>
      <c r="D142" s="11" t="inlineStr">
        <is>
          <t>Yes</t>
        </is>
      </c>
      <c r="E142" s="11" t="inlineStr"/>
      <c r="F142" s="11" t="inlineStr">
        <is>
          <t>Yes</t>
        </is>
      </c>
      <c r="G142" s="12" t="n">
        <v>74</v>
      </c>
      <c r="H142" s="12" t="n">
        <v>65</v>
      </c>
      <c r="I142" s="12" t="n">
        <v>24</v>
      </c>
      <c r="J142" s="12" t="n">
        <v>24</v>
      </c>
      <c r="K142" s="10">
        <f>TRIM(IF(F142="No","Features ","")&amp;IF(G142="","Weight ","")&amp;IF(OR(H142="",I142="",J142="")," Dimensions",""))</f>
        <v/>
      </c>
      <c r="L142" s="11">
        <f>IF(OR(G142="",H142="",I142="",J142=""),"No data",IF(AND(G142&lt;=22,MAX(H142:J142)&lt;=105,(H142*I142*J142)/1000000&lt;=0.25),"Yes","Too big"))</f>
        <v/>
      </c>
      <c r="M142" s="10" t="inlineStr">
        <is>
          <t>/product/power-bags-set-of-4-70kg</t>
        </is>
      </c>
    </row>
    <row r="143">
      <c r="A143" s="10" t="inlineStr">
        <is>
          <t>MMPA5BL01</t>
        </is>
      </c>
      <c r="B143" s="10" t="inlineStr">
        <is>
          <t>Dead Balls (Set of 5) - 81kg</t>
        </is>
      </c>
      <c r="C143" s="10" t="inlineStr">
        <is>
          <t>Packages</t>
        </is>
      </c>
      <c r="D143" s="11" t="inlineStr">
        <is>
          <t>Yes</t>
        </is>
      </c>
      <c r="E143" s="11" t="inlineStr"/>
      <c r="F143" s="11" t="inlineStr">
        <is>
          <t>Yes</t>
        </is>
      </c>
      <c r="G143" s="12" t="n">
        <v>86</v>
      </c>
      <c r="H143" s="12" t="n">
        <v>130</v>
      </c>
      <c r="I143" s="12" t="n">
        <v>29</v>
      </c>
      <c r="J143" s="12" t="n">
        <v>29</v>
      </c>
      <c r="K143" s="10">
        <f>TRIM(IF(F143="No","Features ","")&amp;IF(G143="","Weight ","")&amp;IF(OR(H143="",I143="",J143="")," Dimensions",""))</f>
        <v/>
      </c>
      <c r="L143" s="11">
        <f>IF(OR(G143="",H143="",I143="",J143=""),"No data",IF(AND(G143&lt;=22,MAX(H143:J143)&lt;=105,(H143*I143*J143)/1000000&lt;=0.25),"Yes","Too big"))</f>
        <v/>
      </c>
      <c r="M143" s="10" t="inlineStr">
        <is>
          <t>/product/dead-balls-set-of-5-81kg</t>
        </is>
      </c>
    </row>
    <row r="144">
      <c r="A144" s="10" t="inlineStr">
        <is>
          <t>MMPA5BL02</t>
        </is>
      </c>
      <c r="B144" s="10" t="inlineStr">
        <is>
          <t>Medicine Balls (Set of 5) - 30kg</t>
        </is>
      </c>
      <c r="C144" s="10" t="inlineStr">
        <is>
          <t>Packages</t>
        </is>
      </c>
      <c r="D144" s="11" t="inlineStr">
        <is>
          <t>Yes</t>
        </is>
      </c>
      <c r="E144" s="11" t="inlineStr"/>
      <c r="F144" s="11" t="inlineStr">
        <is>
          <t>Yes</t>
        </is>
      </c>
      <c r="G144" s="12" t="n">
        <v>35</v>
      </c>
      <c r="H144" s="12" t="n">
        <v>130</v>
      </c>
      <c r="I144" s="12" t="n">
        <v>32</v>
      </c>
      <c r="J144" s="12" t="n">
        <v>32</v>
      </c>
      <c r="K144" s="10">
        <f>TRIM(IF(F144="No","Features ","")&amp;IF(G144="","Weight ","")&amp;IF(OR(H144="",I144="",J144="")," Dimensions",""))</f>
        <v/>
      </c>
      <c r="L144" s="11">
        <f>IF(OR(G144="",H144="",I144="",J144=""),"No data",IF(AND(G144&lt;=22,MAX(H144:J144)&lt;=105,(H144*I144*J144)/1000000&lt;=0.25),"Yes","Too big"))</f>
        <v/>
      </c>
      <c r="M144" s="10" t="inlineStr">
        <is>
          <t>/product/medicine-balls-set-of-5-30kg</t>
        </is>
      </c>
    </row>
    <row r="145">
      <c r="A145" s="10" t="inlineStr">
        <is>
          <t>MMPA7201</t>
        </is>
      </c>
      <c r="B145" s="10" t="inlineStr">
        <is>
          <t>Competition Kettlebells (Set of 3) - 72kg</t>
        </is>
      </c>
      <c r="C145" s="10" t="inlineStr">
        <is>
          <t>Packages</t>
        </is>
      </c>
      <c r="D145" s="11" t="inlineStr">
        <is>
          <t>Yes</t>
        </is>
      </c>
      <c r="E145" s="11" t="inlineStr"/>
      <c r="F145" s="11" t="inlineStr">
        <is>
          <t>Yes</t>
        </is>
      </c>
      <c r="G145" s="12" t="n">
        <v>74</v>
      </c>
      <c r="H145" s="12" t="n">
        <v>69</v>
      </c>
      <c r="I145" s="12" t="n">
        <v>23</v>
      </c>
      <c r="J145" s="12" t="n">
        <v>31</v>
      </c>
      <c r="K145" s="10">
        <f>TRIM(IF(F145="No","Features ","")&amp;IF(G145="","Weight ","")&amp;IF(OR(H145="",I145="",J145="")," Dimensions",""))</f>
        <v/>
      </c>
      <c r="L145" s="11">
        <f>IF(OR(G145="",H145="",I145="",J145=""),"No data",IF(AND(G145&lt;=22,MAX(H145:J145)&lt;=105,(H145*I145*J145)/1000000&lt;=0.25),"Yes","Too big"))</f>
        <v/>
      </c>
      <c r="M145" s="10" t="inlineStr">
        <is>
          <t>/product/competition-kettlebells-set-of-3-72kg</t>
        </is>
      </c>
    </row>
    <row r="146">
      <c r="A146" s="10" t="inlineStr">
        <is>
          <t>MMPA8001</t>
        </is>
      </c>
      <c r="B146" s="10" t="inlineStr">
        <is>
          <t>Competition Kettlebells (Set of 5) - 80kg</t>
        </is>
      </c>
      <c r="C146" s="10" t="inlineStr">
        <is>
          <t>Packages</t>
        </is>
      </c>
      <c r="D146" s="11" t="inlineStr">
        <is>
          <t>Yes</t>
        </is>
      </c>
      <c r="E146" s="11" t="inlineStr"/>
      <c r="F146" s="11" t="inlineStr">
        <is>
          <t>Yes</t>
        </is>
      </c>
      <c r="G146" s="12" t="n">
        <v>87</v>
      </c>
      <c r="H146" s="12" t="n">
        <v>138</v>
      </c>
      <c r="I146" s="12" t="n">
        <v>23</v>
      </c>
      <c r="J146" s="12" t="n">
        <v>31</v>
      </c>
      <c r="K146" s="10">
        <f>TRIM(IF(F146="No","Features ","")&amp;IF(G146="","Weight ","")&amp;IF(OR(H146="",I146="",J146="")," Dimensions",""))</f>
        <v/>
      </c>
      <c r="L146" s="11">
        <f>IF(OR(G146="",H146="",I146="",J146=""),"No data",IF(AND(G146&lt;=22,MAX(H146:J146)&lt;=105,(H146*I146*J146)/1000000&lt;=0.25),"Yes","Too big"))</f>
        <v/>
      </c>
      <c r="M146" s="10" t="inlineStr">
        <is>
          <t>/product/competition-kettlebells-set-of-5-80kg</t>
        </is>
      </c>
    </row>
    <row r="147">
      <c r="A147" s="10" t="inlineStr">
        <is>
          <t>MMPACE101</t>
        </is>
      </c>
      <c r="B147" s="10" t="inlineStr">
        <is>
          <t>Chrome 110 Dumbbells (1kg-10kg Pairs)</t>
        </is>
      </c>
      <c r="C147" s="10" t="inlineStr">
        <is>
          <t>Packages</t>
        </is>
      </c>
      <c r="D147" s="11" t="inlineStr">
        <is>
          <t>Yes</t>
        </is>
      </c>
      <c r="E147" s="11" t="inlineStr"/>
      <c r="F147" s="11" t="inlineStr">
        <is>
          <t>No</t>
        </is>
      </c>
      <c r="G147" s="12" t="n">
        <v>120</v>
      </c>
      <c r="H147" s="12" t="n">
        <v>100</v>
      </c>
      <c r="I147" s="12" t="n">
        <v>100</v>
      </c>
      <c r="J147" s="12" t="n">
        <v>50</v>
      </c>
      <c r="K147" s="10">
        <f>TRIM(IF(F147="No","Features ","")&amp;IF(G147="","Weight ","")&amp;IF(OR(H147="",I147="",J147="")," Dimensions",""))</f>
        <v/>
      </c>
      <c r="L147" s="11">
        <f>IF(OR(G147="",H147="",I147="",J147=""),"No data",IF(AND(G147&lt;=22,MAX(H147:J147)&lt;=105,(H147*I147*J147)/1000000&lt;=0.25),"Yes","Too big"))</f>
        <v/>
      </c>
      <c r="M147" s="10" t="inlineStr">
        <is>
          <t>/product/chrome-110-dumbbells-1kg-10kg-pairs</t>
        </is>
      </c>
    </row>
    <row r="148">
      <c r="A148" s="10" t="inlineStr">
        <is>
          <t>MMPACE102</t>
        </is>
      </c>
      <c r="B148" s="10" t="inlineStr">
        <is>
          <t>Chrome 110 Dumbbells (1kg-10kg Pairs) &amp; Rack</t>
        </is>
      </c>
      <c r="C148" s="10" t="inlineStr">
        <is>
          <t>Packages</t>
        </is>
      </c>
      <c r="D148" s="11" t="inlineStr">
        <is>
          <t>Yes</t>
        </is>
      </c>
      <c r="E148" s="11" t="inlineStr"/>
      <c r="F148" s="11" t="inlineStr">
        <is>
          <t>Yes</t>
        </is>
      </c>
      <c r="G148" s="12" t="n">
        <v>158</v>
      </c>
      <c r="H148" s="12" t="n">
        <v>175</v>
      </c>
      <c r="I148" s="12" t="n">
        <v>46.5</v>
      </c>
      <c r="J148" s="12" t="n">
        <v>16</v>
      </c>
      <c r="K148" s="10">
        <f>TRIM(IF(F148="No","Features ","")&amp;IF(G148="","Weight ","")&amp;IF(OR(H148="",I148="",J148="")," Dimensions",""))</f>
        <v/>
      </c>
      <c r="L148" s="11">
        <f>IF(OR(G148="",H148="",I148="",J148=""),"No data",IF(AND(G148&lt;=22,MAX(H148:J148)&lt;=105,(H148*I148*J148)/1000000&lt;=0.25),"Yes","Too big"))</f>
        <v/>
      </c>
      <c r="M148" s="10" t="inlineStr">
        <is>
          <t>/product/chrome-110-dumbbells-1kg-10kg-pairs-rack</t>
        </is>
      </c>
    </row>
    <row r="149">
      <c r="A149" s="10" t="inlineStr">
        <is>
          <t>MMPAPS01</t>
        </is>
      </c>
      <c r="B149" s="10" t="inlineStr">
        <is>
          <t>Group Fitness Barbell Sets - 175kg &amp; Rack</t>
        </is>
      </c>
      <c r="C149" s="10" t="inlineStr">
        <is>
          <t>Packages</t>
        </is>
      </c>
      <c r="D149" s="11" t="inlineStr">
        <is>
          <t>Yes</t>
        </is>
      </c>
      <c r="E149" s="11" t="inlineStr"/>
      <c r="F149" s="11" t="inlineStr">
        <is>
          <t>Yes</t>
        </is>
      </c>
      <c r="G149" s="12" t="n">
        <v>206</v>
      </c>
      <c r="H149" s="12" t="n">
        <v>52</v>
      </c>
      <c r="I149" s="12" t="n">
        <v>26</v>
      </c>
      <c r="J149" s="12" t="n">
        <v>15.5</v>
      </c>
      <c r="K149" s="10">
        <f>TRIM(IF(F149="No","Features ","")&amp;IF(G149="","Weight ","")&amp;IF(OR(H149="",I149="",J149="")," Dimensions",""))</f>
        <v/>
      </c>
      <c r="L149" s="11">
        <f>IF(OR(G149="",H149="",I149="",J149=""),"No data",IF(AND(G149&lt;=22,MAX(H149:J149)&lt;=105,(H149*I149*J149)/1000000&lt;=0.25),"Yes","Too big"))</f>
        <v/>
      </c>
      <c r="M149" s="10" t="inlineStr">
        <is>
          <t>/product/group-fitness-barbell-sets-175kg-rack</t>
        </is>
      </c>
    </row>
    <row r="150">
      <c r="A150" s="10" t="inlineStr">
        <is>
          <t>MMPAPS02</t>
        </is>
      </c>
      <c r="B150" s="10" t="inlineStr">
        <is>
          <t>Group Fitness Barbell Sets - 375kg &amp; Rack</t>
        </is>
      </c>
      <c r="C150" s="10" t="inlineStr">
        <is>
          <t>Packages</t>
        </is>
      </c>
      <c r="D150" s="11" t="inlineStr">
        <is>
          <t>Yes</t>
        </is>
      </c>
      <c r="E150" s="11" t="inlineStr"/>
      <c r="F150" s="11" t="inlineStr">
        <is>
          <t>Yes</t>
        </is>
      </c>
      <c r="G150" s="12" t="n">
        <v>408</v>
      </c>
      <c r="H150" s="12" t="n">
        <v>52</v>
      </c>
      <c r="I150" s="12" t="n">
        <v>26</v>
      </c>
      <c r="J150" s="12" t="n">
        <v>15.5</v>
      </c>
      <c r="K150" s="10">
        <f>TRIM(IF(F150="No","Features ","")&amp;IF(G150="","Weight ","")&amp;IF(OR(H150="",I150="",J150="")," Dimensions",""))</f>
        <v/>
      </c>
      <c r="L150" s="11">
        <f>IF(OR(G150="",H150="",I150="",J150=""),"No data",IF(AND(G150&lt;=22,MAX(H150:J150)&lt;=105,(H150*I150*J150)/1000000&lt;=0.25),"Yes","Too big"))</f>
        <v/>
      </c>
      <c r="M150" s="10" t="inlineStr">
        <is>
          <t>/product/group-fitness-barbell-sets-375kg-rack</t>
        </is>
      </c>
    </row>
    <row r="151">
      <c r="A151" s="10" t="inlineStr">
        <is>
          <t>MWPA10001</t>
        </is>
      </c>
      <c r="B151" s="10" t="inlineStr">
        <is>
          <t>Coloured Bumper Plates (Set of 8) - 100kg</t>
        </is>
      </c>
      <c r="C151" s="10" t="inlineStr">
        <is>
          <t>Packages</t>
        </is>
      </c>
      <c r="D151" s="11" t="inlineStr">
        <is>
          <t>Yes</t>
        </is>
      </c>
      <c r="E151" s="11" t="inlineStr"/>
      <c r="F151" s="11" t="inlineStr">
        <is>
          <t>No</t>
        </is>
      </c>
      <c r="G151" s="12" t="n"/>
      <c r="H151" s="12" t="n"/>
      <c r="I151" s="12" t="n"/>
      <c r="J151" s="12" t="n"/>
      <c r="K151" s="10">
        <f>TRIM(IF(F151="No","Features ","")&amp;IF(G151="","Weight ","")&amp;IF(OR(H151="",I151="",J151="")," Dimensions",""))</f>
        <v/>
      </c>
      <c r="L151" s="11">
        <f>IF(OR(G151="",H151="",I151="",J151=""),"No data",IF(AND(G151&lt;=22,MAX(H151:J151)&lt;=105,(H151*I151*J151)/1000000&lt;=0.25),"Yes","Too big"))</f>
        <v/>
      </c>
      <c r="M151" s="10" t="inlineStr">
        <is>
          <t>/product/coloured-bumper-plates-set-of-8-100kg</t>
        </is>
      </c>
    </row>
    <row r="152">
      <c r="A152" s="10" t="inlineStr">
        <is>
          <t>MWPA10002</t>
        </is>
      </c>
      <c r="B152" s="10" t="inlineStr">
        <is>
          <t>Competition Bumper Plates (Set of 8) - 100kg</t>
        </is>
      </c>
      <c r="C152" s="10" t="inlineStr">
        <is>
          <t>Packages</t>
        </is>
      </c>
      <c r="D152" s="11" t="inlineStr">
        <is>
          <t>Yes</t>
        </is>
      </c>
      <c r="E152" s="11" t="inlineStr"/>
      <c r="F152" s="11" t="inlineStr">
        <is>
          <t>No</t>
        </is>
      </c>
      <c r="G152" s="12" t="n"/>
      <c r="H152" s="12" t="n"/>
      <c r="I152" s="12" t="n"/>
      <c r="J152" s="12" t="n"/>
      <c r="K152" s="10">
        <f>TRIM(IF(F152="No","Features ","")&amp;IF(G152="","Weight ","")&amp;IF(OR(H152="",I152="",J152="")," Dimensions",""))</f>
        <v/>
      </c>
      <c r="L152" s="11">
        <f>IF(OR(G152="",H152="",I152="",J152=""),"No data",IF(AND(G152&lt;=22,MAX(H152:J152)&lt;=105,(H152*I152*J152)/1000000&lt;=0.25),"Yes","Too big"))</f>
        <v/>
      </c>
      <c r="M152" s="10" t="inlineStr">
        <is>
          <t>/product/competition-bumper-plates-set-of-8-100kg</t>
        </is>
      </c>
    </row>
    <row r="153">
      <c r="A153" s="10" t="inlineStr">
        <is>
          <t>MWPA10003</t>
        </is>
      </c>
      <c r="B153" s="10" t="inlineStr">
        <is>
          <t>Olympic Premium Rubber Weight Plates (3 Grip) (Set of 8) - 100kg</t>
        </is>
      </c>
      <c r="C153" s="10" t="inlineStr">
        <is>
          <t>Packages</t>
        </is>
      </c>
      <c r="D153" s="11" t="inlineStr">
        <is>
          <t>Yes</t>
        </is>
      </c>
      <c r="E153" s="11" t="inlineStr"/>
      <c r="F153" s="11" t="inlineStr">
        <is>
          <t>No</t>
        </is>
      </c>
      <c r="G153" s="12" t="n"/>
      <c r="H153" s="12" t="n"/>
      <c r="I153" s="12" t="n"/>
      <c r="J153" s="12" t="n"/>
      <c r="K153" s="10">
        <f>TRIM(IF(F153="No","Features ","")&amp;IF(G153="","Weight ","")&amp;IF(OR(H153="",I153="",J153="")," Dimensions",""))</f>
        <v/>
      </c>
      <c r="L153" s="11">
        <f>IF(OR(G153="",H153="",I153="",J153=""),"No data",IF(AND(G153&lt;=22,MAX(H153:J153)&lt;=105,(H153*I153*J153)/1000000&lt;=0.25),"Yes","Too big"))</f>
        <v/>
      </c>
      <c r="M153" s="10" t="inlineStr">
        <is>
          <t>/product/olympic-premium-rubber-weight-plates-3-grip-set-of-8-100kg</t>
        </is>
      </c>
    </row>
    <row r="154">
      <c r="A154" s="10" t="inlineStr">
        <is>
          <t>MWPA14001</t>
        </is>
      </c>
      <c r="B154" s="10" t="inlineStr">
        <is>
          <t>Coloured Bumper Plates (Set of 8) &amp; 2.5kg Change Plates - 145kg</t>
        </is>
      </c>
      <c r="C154" s="10" t="inlineStr">
        <is>
          <t>Packages</t>
        </is>
      </c>
      <c r="D154" s="11" t="inlineStr">
        <is>
          <t>Yes</t>
        </is>
      </c>
      <c r="E154" s="11" t="inlineStr"/>
      <c r="F154" s="11" t="inlineStr">
        <is>
          <t>No</t>
        </is>
      </c>
      <c r="G154" s="12" t="n"/>
      <c r="H154" s="12" t="n"/>
      <c r="I154" s="12" t="n"/>
      <c r="J154" s="12" t="n"/>
      <c r="K154" s="10">
        <f>TRIM(IF(F154="No","Features ","")&amp;IF(G154="","Weight ","")&amp;IF(OR(H154="",I154="",J154="")," Dimensions",""))</f>
        <v/>
      </c>
      <c r="L154" s="11">
        <f>IF(OR(G154="",H154="",I154="",J154=""),"No data",IF(AND(G154&lt;=22,MAX(H154:J154)&lt;=105,(H154*I154*J154)/1000000&lt;=0.25),"Yes","Too big"))</f>
        <v/>
      </c>
      <c r="M154" s="10" t="inlineStr">
        <is>
          <t>/product/coloured-bumper-plates-set-of-8-2-5kg-change-plates-145kg</t>
        </is>
      </c>
    </row>
    <row r="155">
      <c r="A155" s="10" t="inlineStr">
        <is>
          <t>MWPA14002</t>
        </is>
      </c>
      <c r="B155" s="10" t="inlineStr">
        <is>
          <t>Competition Bumper Plates (Set of 8) - 140kg</t>
        </is>
      </c>
      <c r="C155" s="10" t="inlineStr">
        <is>
          <t>Packages</t>
        </is>
      </c>
      <c r="D155" s="11" t="inlineStr">
        <is>
          <t>Yes</t>
        </is>
      </c>
      <c r="E155" s="11" t="inlineStr"/>
      <c r="F155" s="11" t="inlineStr">
        <is>
          <t>No</t>
        </is>
      </c>
      <c r="G155" s="12" t="n"/>
      <c r="H155" s="12" t="n"/>
      <c r="I155" s="12" t="n"/>
      <c r="J155" s="12" t="n"/>
      <c r="K155" s="10">
        <f>TRIM(IF(F155="No","Features ","")&amp;IF(G155="","Weight ","")&amp;IF(OR(H155="",I155="",J155="")," Dimensions",""))</f>
        <v/>
      </c>
      <c r="L155" s="11">
        <f>IF(OR(G155="",H155="",I155="",J155=""),"No data",IF(AND(G155&lt;=22,MAX(H155:J155)&lt;=105,(H155*I155*J155)/1000000&lt;=0.25),"Yes","Too big"))</f>
        <v/>
      </c>
      <c r="M155" s="10" t="inlineStr">
        <is>
          <t>/product/competition-bumper-plates-set-of-8-140kg</t>
        </is>
      </c>
    </row>
    <row r="156">
      <c r="A156" s="10" t="inlineStr">
        <is>
          <t>MWPA15001</t>
        </is>
      </c>
      <c r="B156" s="10" t="inlineStr">
        <is>
          <t>Coloured Bumper Plates (Set of 10) - 150kg</t>
        </is>
      </c>
      <c r="C156" s="10" t="inlineStr">
        <is>
          <t>Packages</t>
        </is>
      </c>
      <c r="D156" s="11" t="inlineStr">
        <is>
          <t>Yes</t>
        </is>
      </c>
      <c r="E156" s="11" t="inlineStr"/>
      <c r="F156" s="11" t="inlineStr">
        <is>
          <t>No</t>
        </is>
      </c>
      <c r="G156" s="12" t="n"/>
      <c r="H156" s="12" t="n"/>
      <c r="I156" s="12" t="n"/>
      <c r="J156" s="12" t="n"/>
      <c r="K156" s="10">
        <f>TRIM(IF(F156="No","Features ","")&amp;IF(G156="","Weight ","")&amp;IF(OR(H156="",I156="",J156="")," Dimensions",""))</f>
        <v/>
      </c>
      <c r="L156" s="11">
        <f>IF(OR(G156="",H156="",I156="",J156=""),"No data",IF(AND(G156&lt;=22,MAX(H156:J156)&lt;=105,(H156*I156*J156)/1000000&lt;=0.25),"Yes","Too big"))</f>
        <v/>
      </c>
      <c r="M156" s="10" t="inlineStr">
        <is>
          <t>/product/coloured-bumper-plates-set-of-10-150kg</t>
        </is>
      </c>
    </row>
    <row r="157">
      <c r="A157" s="10" t="inlineStr">
        <is>
          <t>MWPA15002</t>
        </is>
      </c>
      <c r="B157" s="10" t="inlineStr">
        <is>
          <t>Competition Bumper Plates (Set of 10) - 150kg</t>
        </is>
      </c>
      <c r="C157" s="10" t="inlineStr">
        <is>
          <t>Packages</t>
        </is>
      </c>
      <c r="D157" s="11" t="inlineStr">
        <is>
          <t>Yes</t>
        </is>
      </c>
      <c r="E157" s="11" t="inlineStr"/>
      <c r="F157" s="11" t="inlineStr">
        <is>
          <t>No</t>
        </is>
      </c>
      <c r="G157" s="12" t="n"/>
      <c r="H157" s="12" t="n"/>
      <c r="I157" s="12" t="n"/>
      <c r="J157" s="12" t="n"/>
      <c r="K157" s="10">
        <f>TRIM(IF(F157="No","Features ","")&amp;IF(G157="","Weight ","")&amp;IF(OR(H157="",I157="",J157="")," Dimensions",""))</f>
        <v/>
      </c>
      <c r="L157" s="11">
        <f>IF(OR(G157="",H157="",I157="",J157=""),"No data",IF(AND(G157&lt;=22,MAX(H157:J157)&lt;=105,(H157*I157*J157)/1000000&lt;=0.25),"Yes","Too big"))</f>
        <v/>
      </c>
      <c r="M157" s="10" t="inlineStr">
        <is>
          <t>/product/competition-bumper-plates-set-of-10-150kg</t>
        </is>
      </c>
    </row>
    <row r="158">
      <c r="A158" s="10" t="inlineStr">
        <is>
          <t>MWPA15003</t>
        </is>
      </c>
      <c r="B158" s="10" t="inlineStr">
        <is>
          <t>Olympic Premium Rubber Weight Plates (3 Grip) (Set of 10) - 150kg</t>
        </is>
      </c>
      <c r="C158" s="10" t="inlineStr">
        <is>
          <t>Packages</t>
        </is>
      </c>
      <c r="D158" s="11" t="inlineStr">
        <is>
          <t>Yes</t>
        </is>
      </c>
      <c r="E158" s="11" t="inlineStr"/>
      <c r="F158" s="11" t="inlineStr">
        <is>
          <t>No</t>
        </is>
      </c>
      <c r="G158" s="12" t="n"/>
      <c r="H158" s="12" t="n"/>
      <c r="I158" s="12" t="n"/>
      <c r="J158" s="12" t="n"/>
      <c r="K158" s="10">
        <f>TRIM(IF(F158="No","Features ","")&amp;IF(G158="","Weight ","")&amp;IF(OR(H158="",I158="",J158="")," Dimensions",""))</f>
        <v/>
      </c>
      <c r="L158" s="11">
        <f>IF(OR(G158="",H158="",I158="",J158=""),"No data",IF(AND(G158&lt;=22,MAX(H158:J158)&lt;=105,(H158*I158*J158)/1000000&lt;=0.25),"Yes","Too big"))</f>
        <v/>
      </c>
      <c r="M158" s="10" t="inlineStr">
        <is>
          <t>/product/olympic-premium-rubber-weight-plates-3-grip-set-of-10-150kg</t>
        </is>
      </c>
    </row>
    <row r="159">
      <c r="A159" s="10" t="inlineStr">
        <is>
          <t>MWPA9001</t>
        </is>
      </c>
      <c r="B159" s="10" t="inlineStr">
        <is>
          <t>Coloured Bumper Plates (Set of 6) - 90kg</t>
        </is>
      </c>
      <c r="C159" s="10" t="inlineStr">
        <is>
          <t>Packages</t>
        </is>
      </c>
      <c r="D159" s="11" t="inlineStr">
        <is>
          <t>Yes</t>
        </is>
      </c>
      <c r="E159" s="11" t="inlineStr"/>
      <c r="F159" s="11" t="inlineStr">
        <is>
          <t>No</t>
        </is>
      </c>
      <c r="G159" s="12" t="n"/>
      <c r="H159" s="12" t="n"/>
      <c r="I159" s="12" t="n"/>
      <c r="J159" s="12" t="n"/>
      <c r="K159" s="10">
        <f>TRIM(IF(F159="No","Features ","")&amp;IF(G159="","Weight ","")&amp;IF(OR(H159="",I159="",J159="")," Dimensions",""))</f>
        <v/>
      </c>
      <c r="L159" s="11">
        <f>IF(OR(G159="",H159="",I159="",J159=""),"No data",IF(AND(G159&lt;=22,MAX(H159:J159)&lt;=105,(H159*I159*J159)/1000000&lt;=0.25),"Yes","Too big"))</f>
        <v/>
      </c>
      <c r="M159" s="10" t="inlineStr">
        <is>
          <t>/product/coloured-bumper-plates-set-of-6-90kg</t>
        </is>
      </c>
    </row>
    <row r="160">
      <c r="A160" s="10" t="inlineStr">
        <is>
          <t>MWPAFRU01</t>
        </is>
      </c>
      <c r="B160" s="10" t="inlineStr">
        <is>
          <t>Rubber Fixed Barbells (Set of 10 Bars) &amp; Rack</t>
        </is>
      </c>
      <c r="C160" s="10" t="inlineStr">
        <is>
          <t>Packages</t>
        </is>
      </c>
      <c r="D160" s="11" t="inlineStr">
        <is>
          <t>Yes</t>
        </is>
      </c>
      <c r="E160" s="11" t="inlineStr"/>
      <c r="F160" s="11" t="inlineStr">
        <is>
          <t>No</t>
        </is>
      </c>
      <c r="G160" s="12" t="n"/>
      <c r="H160" s="12" t="n"/>
      <c r="I160" s="12" t="n"/>
      <c r="J160" s="12" t="n"/>
      <c r="K160" s="10">
        <f>TRIM(IF(F160="No","Features ","")&amp;IF(G160="","Weight ","")&amp;IF(OR(H160="",I160="",J160="")," Dimensions",""))</f>
        <v/>
      </c>
      <c r="L160" s="11">
        <f>IF(OR(G160="",H160="",I160="",J160=""),"No data",IF(AND(G160&lt;=22,MAX(H160:J160)&lt;=105,(H160*I160*J160)/1000000&lt;=0.25),"Yes","Too big"))</f>
        <v/>
      </c>
      <c r="M160" s="10" t="inlineStr">
        <is>
          <t>/product/rubber-fixed-barbells-set-of-10-bars-rack</t>
        </is>
      </c>
    </row>
    <row r="161">
      <c r="A161" s="10" t="inlineStr">
        <is>
          <t>MWPAFRU02</t>
        </is>
      </c>
      <c r="B161" s="10" t="inlineStr">
        <is>
          <t>Rubber Fixed Barbells (Set of 5 Bars) &amp; Rack</t>
        </is>
      </c>
      <c r="C161" s="10" t="inlineStr">
        <is>
          <t>Packages</t>
        </is>
      </c>
      <c r="D161" s="11" t="inlineStr">
        <is>
          <t>Yes</t>
        </is>
      </c>
      <c r="E161" s="11" t="inlineStr"/>
      <c r="F161" s="11" t="inlineStr">
        <is>
          <t>No</t>
        </is>
      </c>
      <c r="G161" s="12" t="n"/>
      <c r="H161" s="12" t="n"/>
      <c r="I161" s="12" t="n"/>
      <c r="J161" s="12" t="n"/>
      <c r="K161" s="10">
        <f>TRIM(IF(F161="No","Features ","")&amp;IF(G161="","Weight ","")&amp;IF(OR(H161="",I161="",J161="")," Dimensions",""))</f>
        <v/>
      </c>
      <c r="L161" s="11">
        <f>IF(OR(G161="",H161="",I161="",J161=""),"No data",IF(AND(G161&lt;=22,MAX(H161:J161)&lt;=105,(H161*I161*J161)/1000000&lt;=0.25),"Yes","Too big"))</f>
        <v/>
      </c>
      <c r="M161" s="10" t="inlineStr">
        <is>
          <t>/product/rubber-fixed-barbells-set-of-5-bars-rack</t>
        </is>
      </c>
    </row>
    <row r="162">
      <c r="A162" s="10" t="inlineStr">
        <is>
          <t>MRCTATT01</t>
        </is>
      </c>
      <c r="B162" s="10" t="inlineStr">
        <is>
          <t>Rig Core Trainer (Landmine)</t>
        </is>
      </c>
      <c r="C162" s="10" t="inlineStr">
        <is>
          <t>Rigs &amp; Racks</t>
        </is>
      </c>
      <c r="D162" s="11" t="inlineStr">
        <is>
          <t>Yes</t>
        </is>
      </c>
      <c r="E162" s="11" t="inlineStr"/>
      <c r="F162" s="11" t="inlineStr">
        <is>
          <t>Yes</t>
        </is>
      </c>
      <c r="G162" s="12" t="n">
        <v>4</v>
      </c>
      <c r="H162" s="12" t="n">
        <v>55</v>
      </c>
      <c r="I162" s="12" t="n">
        <v>12</v>
      </c>
      <c r="J162" s="12" t="n">
        <v>12</v>
      </c>
      <c r="K162" s="10">
        <f>TRIM(IF(F162="No","Features ","")&amp;IF(G162="","Weight ","")&amp;IF(OR(H162="",I162="",J162="")," Dimensions",""))</f>
        <v/>
      </c>
      <c r="L162" s="11">
        <f>IF(OR(G162="",H162="",I162="",J162=""),"No data",IF(AND(G162&lt;=22,MAX(H162:J162)&lt;=105,(H162*I162*J162)/1000000&lt;=0.25),"Yes","Too big"))</f>
        <v/>
      </c>
      <c r="M162" s="10" t="inlineStr">
        <is>
          <t>/product/rig-core-trainer-landmine</t>
        </is>
      </c>
    </row>
    <row r="163">
      <c r="A163" s="10" t="inlineStr">
        <is>
          <t>MRSPATT01</t>
        </is>
      </c>
      <c r="B163" s="10" t="inlineStr">
        <is>
          <t>Rig Crossbeam Single Pipe - 1080mm</t>
        </is>
      </c>
      <c r="C163" s="10" t="inlineStr">
        <is>
          <t>Rigs &amp; Racks</t>
        </is>
      </c>
      <c r="D163" s="11" t="inlineStr">
        <is>
          <t>Yes</t>
        </is>
      </c>
      <c r="E163" s="11" t="inlineStr"/>
      <c r="F163" s="11" t="inlineStr">
        <is>
          <t>Yes</t>
        </is>
      </c>
      <c r="G163" s="12" t="n">
        <v>6</v>
      </c>
      <c r="H163" s="12" t="n">
        <v>109</v>
      </c>
      <c r="I163" s="12" t="n">
        <v>7.5</v>
      </c>
      <c r="J163" s="12" t="n">
        <v>7.5</v>
      </c>
      <c r="K163" s="10">
        <f>TRIM(IF(F163="No","Features ","")&amp;IF(G163="","Weight ","")&amp;IF(OR(H163="",I163="",J163="")," Dimensions",""))</f>
        <v/>
      </c>
      <c r="L163" s="11">
        <f>IF(OR(G163="",H163="",I163="",J163=""),"No data",IF(AND(G163&lt;=22,MAX(H163:J163)&lt;=105,(H163*I163*J163)/1000000&lt;=0.25),"Yes","Too big"))</f>
        <v/>
      </c>
      <c r="M163" s="10" t="inlineStr">
        <is>
          <t>/product/rig-crossbeam-single-pipe-1080mm</t>
        </is>
      </c>
    </row>
    <row r="164">
      <c r="A164" s="10" t="inlineStr">
        <is>
          <t>MRSPATT02</t>
        </is>
      </c>
      <c r="B164" s="10" t="inlineStr">
        <is>
          <t>Rig Crossbeam Single Pipe - 1520mm</t>
        </is>
      </c>
      <c r="C164" s="10" t="inlineStr">
        <is>
          <t>Rigs &amp; Racks</t>
        </is>
      </c>
      <c r="D164" s="11" t="inlineStr">
        <is>
          <t>Yes</t>
        </is>
      </c>
      <c r="E164" s="11" t="inlineStr"/>
      <c r="F164" s="11" t="inlineStr">
        <is>
          <t>Yes</t>
        </is>
      </c>
      <c r="G164" s="12" t="n">
        <v>3.44</v>
      </c>
      <c r="H164" s="12" t="n">
        <v>153</v>
      </c>
      <c r="I164" s="12" t="n">
        <v>7.5</v>
      </c>
      <c r="J164" s="12" t="n">
        <v>7.5</v>
      </c>
      <c r="K164" s="10">
        <f>TRIM(IF(F164="No","Features ","")&amp;IF(G164="","Weight ","")&amp;IF(OR(H164="",I164="",J164="")," Dimensions",""))</f>
        <v/>
      </c>
      <c r="L164" s="11">
        <f>IF(OR(G164="",H164="",I164="",J164=""),"No data",IF(AND(G164&lt;=22,MAX(H164:J164)&lt;=105,(H164*I164*J164)/1000000&lt;=0.25),"Yes","Too big"))</f>
        <v/>
      </c>
      <c r="M164" s="10" t="inlineStr">
        <is>
          <t>/product/rig-crossbeam-single-pipe-1520mm</t>
        </is>
      </c>
    </row>
    <row r="165">
      <c r="A165" s="10" t="inlineStr">
        <is>
          <t>MRSPATT03</t>
        </is>
      </c>
      <c r="B165" s="10" t="inlineStr">
        <is>
          <t>Rig Universal Upright</t>
        </is>
      </c>
      <c r="C165" s="10" t="inlineStr">
        <is>
          <t>Rigs &amp; Racks</t>
        </is>
      </c>
      <c r="D165" s="11" t="inlineStr">
        <is>
          <t>Yes</t>
        </is>
      </c>
      <c r="E165" s="11" t="inlineStr"/>
      <c r="F165" s="11" t="inlineStr">
        <is>
          <t>Yes</t>
        </is>
      </c>
      <c r="G165" s="12" t="n">
        <v>19</v>
      </c>
      <c r="H165" s="12" t="n">
        <v>241</v>
      </c>
      <c r="I165" s="12" t="n">
        <v>7.5</v>
      </c>
      <c r="J165" s="12" t="n">
        <v>7.5</v>
      </c>
      <c r="K165" s="10">
        <f>TRIM(IF(F165="No","Features ","")&amp;IF(G165="","Weight ","")&amp;IF(OR(H165="",I165="",J165="")," Dimensions",""))</f>
        <v/>
      </c>
      <c r="L165" s="11">
        <f>IF(OR(G165="",H165="",I165="",J165=""),"No data",IF(AND(G165&lt;=22,MAX(H165:J165)&lt;=105,(H165*I165*J165)/1000000&lt;=0.25),"Yes","Too big"))</f>
        <v/>
      </c>
      <c r="M165" s="10" t="inlineStr">
        <is>
          <t>/product/rig-universal-upright</t>
        </is>
      </c>
    </row>
    <row r="166">
      <c r="A166" s="10" t="inlineStr">
        <is>
          <t>MRSPATT04</t>
        </is>
      </c>
      <c r="B166" s="10" t="inlineStr">
        <is>
          <t>Rig Dip Bar Attachment</t>
        </is>
      </c>
      <c r="C166" s="10" t="inlineStr">
        <is>
          <t>Rigs &amp; Racks</t>
        </is>
      </c>
      <c r="D166" s="11" t="inlineStr">
        <is>
          <t>Yes</t>
        </is>
      </c>
      <c r="E166" s="11" t="inlineStr"/>
      <c r="F166" s="11" t="inlineStr">
        <is>
          <t>Yes</t>
        </is>
      </c>
      <c r="G166" s="12" t="n">
        <v>11</v>
      </c>
      <c r="H166" s="12" t="n">
        <v>71</v>
      </c>
      <c r="I166" s="12" t="n">
        <v>59</v>
      </c>
      <c r="J166" s="12" t="n">
        <v>24</v>
      </c>
      <c r="K166" s="10">
        <f>TRIM(IF(F166="No","Features ","")&amp;IF(G166="","Weight ","")&amp;IF(OR(H166="",I166="",J166="")," Dimensions",""))</f>
        <v/>
      </c>
      <c r="L166" s="11">
        <f>IF(OR(G166="",H166="",I166="",J166=""),"No data",IF(AND(G166&lt;=22,MAX(H166:J166)&lt;=105,(H166*I166*J166)/1000000&lt;=0.25),"Yes","Too big"))</f>
        <v/>
      </c>
      <c r="M166" s="10" t="inlineStr">
        <is>
          <t>/product/rig-dip-bar-attachment</t>
        </is>
      </c>
    </row>
    <row r="167">
      <c r="A167" s="10" t="inlineStr">
        <is>
          <t>MRSPATT05</t>
        </is>
      </c>
      <c r="B167" s="10" t="inlineStr">
        <is>
          <t>Rig Premium J-Hooks</t>
        </is>
      </c>
      <c r="C167" s="10" t="inlineStr">
        <is>
          <t>Rigs &amp; Racks</t>
        </is>
      </c>
      <c r="D167" s="11" t="inlineStr">
        <is>
          <t>Yes</t>
        </is>
      </c>
      <c r="E167" s="11" t="inlineStr"/>
      <c r="F167" s="11" t="inlineStr">
        <is>
          <t>Yes</t>
        </is>
      </c>
      <c r="G167" s="12" t="n">
        <v>8</v>
      </c>
      <c r="H167" s="12" t="n">
        <v>16</v>
      </c>
      <c r="I167" s="12" t="n">
        <v>11</v>
      </c>
      <c r="J167" s="12" t="n">
        <v>22</v>
      </c>
      <c r="K167" s="10">
        <f>TRIM(IF(F167="No","Features ","")&amp;IF(G167="","Weight ","")&amp;IF(OR(H167="",I167="",J167="")," Dimensions",""))</f>
        <v/>
      </c>
      <c r="L167" s="11">
        <f>IF(OR(G167="",H167="",I167="",J167=""),"No data",IF(AND(G167&lt;=22,MAX(H167:J167)&lt;=105,(H167*I167*J167)/1000000&lt;=0.25),"Yes","Too big"))</f>
        <v/>
      </c>
      <c r="M167" s="10" t="inlineStr">
        <is>
          <t>/product/rig-premium-j-hooks</t>
        </is>
      </c>
    </row>
    <row r="168">
      <c r="A168" s="10" t="inlineStr">
        <is>
          <t>MRSPATT06</t>
        </is>
      </c>
      <c r="B168" s="10" t="inlineStr">
        <is>
          <t>Rig Wall Ball Target</t>
        </is>
      </c>
      <c r="C168" s="10" t="inlineStr">
        <is>
          <t>Rigs &amp; Racks</t>
        </is>
      </c>
      <c r="D168" s="11" t="inlineStr">
        <is>
          <t>Yes</t>
        </is>
      </c>
      <c r="E168" s="11" t="inlineStr"/>
      <c r="F168" s="11" t="inlineStr">
        <is>
          <t>Yes</t>
        </is>
      </c>
      <c r="G168" s="12" t="n">
        <v>19</v>
      </c>
      <c r="H168" s="12" t="n">
        <v>42.5</v>
      </c>
      <c r="I168" s="12" t="n">
        <v>41.8</v>
      </c>
      <c r="J168" s="12" t="n">
        <v>115.1</v>
      </c>
      <c r="K168" s="10">
        <f>TRIM(IF(F168="No","Features ","")&amp;IF(G168="","Weight ","")&amp;IF(OR(H168="",I168="",J168="")," Dimensions",""))</f>
        <v/>
      </c>
      <c r="L168" s="11">
        <f>IF(OR(G168="",H168="",I168="",J168=""),"No data",IF(AND(G168&lt;=22,MAX(H168:J168)&lt;=105,(H168*I168*J168)/1000000&lt;=0.25),"Yes","Too big"))</f>
        <v/>
      </c>
      <c r="M168" s="10" t="inlineStr">
        <is>
          <t>/product/rig-wall-ball-target</t>
        </is>
      </c>
    </row>
    <row r="169">
      <c r="A169" s="10" t="inlineStr">
        <is>
          <t>MRSPFW01</t>
        </is>
      </c>
      <c r="B169" s="10" t="inlineStr">
        <is>
          <t>Olympic Power Rack 1.0</t>
        </is>
      </c>
      <c r="C169" s="10" t="inlineStr">
        <is>
          <t>Rigs &amp; Racks</t>
        </is>
      </c>
      <c r="D169" s="11" t="inlineStr">
        <is>
          <t>Yes</t>
        </is>
      </c>
      <c r="E169" s="11" t="inlineStr"/>
      <c r="F169" s="11" t="inlineStr">
        <is>
          <t>Yes</t>
        </is>
      </c>
      <c r="G169" s="12" t="n">
        <v>130</v>
      </c>
      <c r="H169" s="12" t="n">
        <v>230</v>
      </c>
      <c r="I169" s="12" t="n">
        <v>52</v>
      </c>
      <c r="J169" s="12" t="n">
        <v>19</v>
      </c>
      <c r="K169" s="10">
        <f>TRIM(IF(F169="No","Features ","")&amp;IF(G169="","Weight ","")&amp;IF(OR(H169="",I169="",J169="")," Dimensions",""))</f>
        <v/>
      </c>
      <c r="L169" s="11">
        <f>IF(OR(G169="",H169="",I169="",J169=""),"No data",IF(AND(G169&lt;=22,MAX(H169:J169)&lt;=105,(H169*I169*J169)/1000000&lt;=0.25),"Yes","Too big"))</f>
        <v/>
      </c>
      <c r="M169" s="10" t="inlineStr">
        <is>
          <t>/product/olympic-power-rack-1-0</t>
        </is>
      </c>
    </row>
    <row r="170">
      <c r="A170" s="10" t="inlineStr">
        <is>
          <t>MRSPFW02</t>
        </is>
      </c>
      <c r="B170" s="10" t="inlineStr">
        <is>
          <t>Olympic Power Rack 2.0</t>
        </is>
      </c>
      <c r="C170" s="10" t="inlineStr">
        <is>
          <t>Rigs &amp; Racks</t>
        </is>
      </c>
      <c r="D170" s="11" t="inlineStr">
        <is>
          <t>Yes</t>
        </is>
      </c>
      <c r="E170" s="11" t="inlineStr"/>
      <c r="F170" s="11" t="inlineStr">
        <is>
          <t>No</t>
        </is>
      </c>
      <c r="G170" s="12" t="n">
        <v>210</v>
      </c>
      <c r="H170" s="12" t="n">
        <v>230</v>
      </c>
      <c r="I170" s="12" t="n">
        <v>52</v>
      </c>
      <c r="J170" s="12" t="n">
        <v>19</v>
      </c>
      <c r="K170" s="10">
        <f>TRIM(IF(F170="No","Features ","")&amp;IF(G170="","Weight ","")&amp;IF(OR(H170="",I170="",J170="")," Dimensions",""))</f>
        <v/>
      </c>
      <c r="L170" s="11">
        <f>IF(OR(G170="",H170="",I170="",J170=""),"No data",IF(AND(G170&lt;=22,MAX(H170:J170)&lt;=105,(H170*I170*J170)/1000000&lt;=0.25),"Yes","Too big"))</f>
        <v/>
      </c>
      <c r="M170" s="10" t="inlineStr">
        <is>
          <t>/product/olympic-power-rack-2-0</t>
        </is>
      </c>
    </row>
    <row r="171">
      <c r="A171" s="10" t="inlineStr">
        <is>
          <t>MRSPFW03</t>
        </is>
      </c>
      <c r="B171" s="10" t="inlineStr">
        <is>
          <t>Olympic Power Rack 2.0 Weight Plate Storage Rack Only</t>
        </is>
      </c>
      <c r="C171" s="10" t="inlineStr">
        <is>
          <t>Rigs &amp; Racks</t>
        </is>
      </c>
      <c r="D171" s="11" t="inlineStr">
        <is>
          <t>Yes</t>
        </is>
      </c>
      <c r="E171" s="11" t="inlineStr"/>
      <c r="F171" s="11" t="inlineStr">
        <is>
          <t>Yes</t>
        </is>
      </c>
      <c r="G171" s="12" t="n">
        <v>58</v>
      </c>
      <c r="H171" s="12" t="n"/>
      <c r="I171" s="12" t="n"/>
      <c r="J171" s="12" t="n"/>
      <c r="K171" s="10">
        <f>TRIM(IF(F171="No","Features ","")&amp;IF(G171="","Weight ","")&amp;IF(OR(H171="",I171="",J171="")," Dimensions",""))</f>
        <v/>
      </c>
      <c r="L171" s="11">
        <f>IF(OR(G171="",H171="",I171="",J171=""),"No data",IF(AND(G171&lt;=22,MAX(H171:J171)&lt;=105,(H171*I171*J171)/1000000&lt;=0.25),"Yes","Too big"))</f>
        <v/>
      </c>
      <c r="M171" s="10" t="inlineStr">
        <is>
          <t>/product/olympic-power-rack-2-0-weight-plate-storage-rack-only</t>
        </is>
      </c>
    </row>
    <row r="172">
      <c r="A172" s="10" t="inlineStr">
        <is>
          <t>MRSPFW04</t>
        </is>
      </c>
      <c r="B172" s="10" t="inlineStr">
        <is>
          <t>Olympic Power Rack 3.0</t>
        </is>
      </c>
      <c r="C172" s="10" t="inlineStr">
        <is>
          <t>Rigs &amp; Racks</t>
        </is>
      </c>
      <c r="D172" s="11" t="inlineStr">
        <is>
          <t>Yes</t>
        </is>
      </c>
      <c r="E172" s="11" t="inlineStr"/>
      <c r="F172" s="11" t="inlineStr">
        <is>
          <t>No</t>
        </is>
      </c>
      <c r="G172" s="12" t="n">
        <v>196</v>
      </c>
      <c r="H172" s="12" t="n">
        <v>148</v>
      </c>
      <c r="I172" s="12" t="n">
        <v>75</v>
      </c>
      <c r="J172" s="12" t="n">
        <v>23</v>
      </c>
      <c r="K172" s="10">
        <f>TRIM(IF(F172="No","Features ","")&amp;IF(G172="","Weight ","")&amp;IF(OR(H172="",I172="",J172="")," Dimensions",""))</f>
        <v/>
      </c>
      <c r="L172" s="11">
        <f>IF(OR(G172="",H172="",I172="",J172=""),"No data",IF(AND(G172&lt;=22,MAX(H172:J172)&lt;=105,(H172*I172*J172)/1000000&lt;=0.25),"Yes","Too big"))</f>
        <v/>
      </c>
      <c r="M172" s="10" t="inlineStr">
        <is>
          <t>/product/olympic-power-rack-3-0</t>
        </is>
      </c>
    </row>
    <row r="173">
      <c r="A173" s="10" t="inlineStr">
        <is>
          <t>MRSPFW05</t>
        </is>
      </c>
      <c r="B173" s="10" t="inlineStr">
        <is>
          <t>Olympic Power Rack 4.0</t>
        </is>
      </c>
      <c r="C173" s="10" t="inlineStr">
        <is>
          <t>Rigs &amp; Racks</t>
        </is>
      </c>
      <c r="D173" s="11" t="inlineStr">
        <is>
          <t>Yes</t>
        </is>
      </c>
      <c r="E173" s="11" t="inlineStr"/>
      <c r="F173" s="11" t="inlineStr">
        <is>
          <t>No</t>
        </is>
      </c>
      <c r="G173" s="12" t="n">
        <v>224</v>
      </c>
      <c r="H173" s="12" t="n">
        <v>115</v>
      </c>
      <c r="I173" s="12" t="n">
        <v>42</v>
      </c>
      <c r="J173" s="12" t="n">
        <v>29</v>
      </c>
      <c r="K173" s="10">
        <f>TRIM(IF(F173="No","Features ","")&amp;IF(G173="","Weight ","")&amp;IF(OR(H173="",I173="",J173="")," Dimensions",""))</f>
        <v/>
      </c>
      <c r="L173" s="11">
        <f>IF(OR(G173="",H173="",I173="",J173=""),"No data",IF(AND(G173&lt;=22,MAX(H173:J173)&lt;=105,(H173*I173*J173)/1000000&lt;=0.25),"Yes","Too big"))</f>
        <v/>
      </c>
      <c r="M173" s="10" t="inlineStr">
        <is>
          <t>/product/olympic-power-rack-4-0</t>
        </is>
      </c>
    </row>
    <row r="174">
      <c r="A174" s="10" t="inlineStr">
        <is>
          <t>MRSPSE01</t>
        </is>
      </c>
      <c r="B174" s="10" t="inlineStr">
        <is>
          <t>All-In-One Trainer</t>
        </is>
      </c>
      <c r="C174" s="10" t="inlineStr">
        <is>
          <t>Rigs &amp; Racks</t>
        </is>
      </c>
      <c r="D174" s="11" t="inlineStr">
        <is>
          <t>Yes</t>
        </is>
      </c>
      <c r="E174" s="11" t="inlineStr"/>
      <c r="F174" s="11" t="inlineStr">
        <is>
          <t>Yes</t>
        </is>
      </c>
      <c r="G174" s="12" t="n">
        <v>450</v>
      </c>
      <c r="H174" s="12" t="n">
        <v>240</v>
      </c>
      <c r="I174" s="12" t="n">
        <v>85</v>
      </c>
      <c r="J174" s="12" t="n">
        <v>55</v>
      </c>
      <c r="K174" s="10">
        <f>TRIM(IF(F174="No","Features ","")&amp;IF(G174="","Weight ","")&amp;IF(OR(H174="",I174="",J174="")," Dimensions",""))</f>
        <v/>
      </c>
      <c r="L174" s="11">
        <f>IF(OR(G174="",H174="",I174="",J174=""),"No data",IF(AND(G174&lt;=22,MAX(H174:J174)&lt;=105,(H174*I174*J174)/1000000&lt;=0.25),"Yes","Too big"))</f>
        <v/>
      </c>
      <c r="M174" s="10" t="inlineStr">
        <is>
          <t>/product/all-in-one-trainer-2</t>
        </is>
      </c>
    </row>
    <row r="175">
      <c r="A175" s="10" t="inlineStr">
        <is>
          <t>MRWAATT01</t>
        </is>
      </c>
      <c r="B175" s="10" t="inlineStr">
        <is>
          <t>Rig Spotter Arms (Pair)</t>
        </is>
      </c>
      <c r="C175" s="10" t="inlineStr">
        <is>
          <t>Rigs &amp; Racks</t>
        </is>
      </c>
      <c r="D175" s="11" t="inlineStr">
        <is>
          <t>Yes</t>
        </is>
      </c>
      <c r="E175" s="11" t="inlineStr"/>
      <c r="F175" s="11" t="inlineStr">
        <is>
          <t>Yes</t>
        </is>
      </c>
      <c r="G175" s="12" t="n">
        <v>19</v>
      </c>
      <c r="H175" s="12" t="n">
        <v>82.5</v>
      </c>
      <c r="I175" s="12" t="n">
        <v>19</v>
      </c>
      <c r="J175" s="12" t="n">
        <v>21.8</v>
      </c>
      <c r="K175" s="10">
        <f>TRIM(IF(F175="No","Features ","")&amp;IF(G175="","Weight ","")&amp;IF(OR(H175="",I175="",J175="")," Dimensions",""))</f>
        <v/>
      </c>
      <c r="L175" s="11">
        <f>IF(OR(G175="",H175="",I175="",J175=""),"No data",IF(AND(G175&lt;=22,MAX(H175:J175)&lt;=105,(H175*I175*J175)/1000000&lt;=0.25),"Yes","Too big"))</f>
        <v/>
      </c>
      <c r="M175" s="10" t="inlineStr">
        <is>
          <t>/product/rig-spotter-arms-pair</t>
        </is>
      </c>
    </row>
    <row r="176">
      <c r="A176" s="10" t="inlineStr">
        <is>
          <t>SCRWAR04</t>
        </is>
      </c>
      <c r="B176" s="10" t="inlineStr">
        <is>
          <t>C2 Rower Model D PM5 Black</t>
        </is>
      </c>
      <c r="C176" s="10" t="inlineStr">
        <is>
          <t>Rowers</t>
        </is>
      </c>
      <c r="D176" s="11" t="inlineStr">
        <is>
          <t>Yes</t>
        </is>
      </c>
      <c r="E176" s="11" t="inlineStr"/>
      <c r="F176" s="11" t="inlineStr">
        <is>
          <t>Yes</t>
        </is>
      </c>
      <c r="G176" s="12" t="n">
        <v>32.9</v>
      </c>
      <c r="H176" s="12" t="n">
        <v>2440</v>
      </c>
      <c r="I176" s="12" t="n">
        <v>610</v>
      </c>
      <c r="J176" s="12" t="n"/>
      <c r="K176" s="10">
        <f>TRIM(IF(F176="No","Features ","")&amp;IF(G176="","Weight ","")&amp;IF(OR(H176="",I176="",J176="")," Dimensions",""))</f>
        <v/>
      </c>
      <c r="L176" s="11">
        <f>IF(OR(G176="",H176="",I176="",J176=""),"No data",IF(AND(G176&lt;=22,MAX(H176:J176)&lt;=105,(H176*I176*J176)/1000000&lt;=0.25),"Yes","Too big"))</f>
        <v/>
      </c>
      <c r="M176" s="10" t="inlineStr">
        <is>
          <t>/product/c2-rower-model-d-pm5-black</t>
        </is>
      </c>
    </row>
    <row r="177">
      <c r="A177" s="10" t="inlineStr">
        <is>
          <t>MSBMPL01</t>
        </is>
      </c>
      <c r="B177" s="10" t="inlineStr">
        <is>
          <t>T-Bar Row Machine Pro (Incline)</t>
        </is>
      </c>
      <c r="C177" s="10" t="inlineStr">
        <is>
          <t>Strength</t>
        </is>
      </c>
      <c r="D177" s="11" t="inlineStr">
        <is>
          <t>Yes</t>
        </is>
      </c>
      <c r="E177" s="11" t="inlineStr"/>
      <c r="F177" s="11" t="inlineStr">
        <is>
          <t>Yes</t>
        </is>
      </c>
      <c r="G177" s="12" t="n">
        <v>328</v>
      </c>
      <c r="H177" s="12" t="n">
        <v>146</v>
      </c>
      <c r="I177" s="12" t="n">
        <v>93</v>
      </c>
      <c r="J177" s="12" t="n">
        <v>40</v>
      </c>
      <c r="K177" s="10">
        <f>TRIM(IF(F177="No","Features ","")&amp;IF(G177="","Weight ","")&amp;IF(OR(H177="",I177="",J177="")," Dimensions",""))</f>
        <v/>
      </c>
      <c r="L177" s="11">
        <f>IF(OR(G177="",H177="",I177="",J177=""),"No data",IF(AND(G177&lt;=22,MAX(H177:J177)&lt;=105,(H177*I177*J177)/1000000&lt;=0.25),"Yes","Too big"))</f>
        <v/>
      </c>
      <c r="M177" s="10" t="inlineStr">
        <is>
          <t>/product/t-bar-row-machine-pro-incline</t>
        </is>
      </c>
    </row>
    <row r="178">
      <c r="A178" s="10" t="inlineStr">
        <is>
          <t>MSBMSE04</t>
        </is>
      </c>
      <c r="B178" s="10" t="inlineStr">
        <is>
          <t>Lat Pulldown &amp; Seated Row Machine Elite (Selectorize)</t>
        </is>
      </c>
      <c r="C178" s="10" t="inlineStr">
        <is>
          <t>Strength</t>
        </is>
      </c>
      <c r="D178" s="11" t="inlineStr">
        <is>
          <t>Yes</t>
        </is>
      </c>
      <c r="E178" s="11" t="inlineStr"/>
      <c r="F178" s="11" t="inlineStr">
        <is>
          <t>Yes</t>
        </is>
      </c>
      <c r="G178" s="12" t="n">
        <v>363</v>
      </c>
      <c r="H178" s="12" t="n">
        <v>181.5</v>
      </c>
      <c r="I178" s="12" t="n">
        <v>75.5</v>
      </c>
      <c r="J178" s="12" t="n">
        <v>40.5</v>
      </c>
      <c r="K178" s="10">
        <f>TRIM(IF(F178="No","Features ","")&amp;IF(G178="","Weight ","")&amp;IF(OR(H178="",I178="",J178="")," Dimensions",""))</f>
        <v/>
      </c>
      <c r="L178" s="11">
        <f>IF(OR(G178="",H178="",I178="",J178=""),"No data",IF(AND(G178&lt;=22,MAX(H178:J178)&lt;=105,(H178*I178*J178)/1000000&lt;=0.25),"Yes","Too big"))</f>
        <v/>
      </c>
      <c r="M178" s="10" t="inlineStr">
        <is>
          <t>/product/lat-pulldown-seated-row-machine-elite-selectorize</t>
        </is>
      </c>
    </row>
    <row r="179">
      <c r="A179" s="10" t="inlineStr">
        <is>
          <t>MSCMDU01</t>
        </is>
      </c>
      <c r="B179" s="10" t="inlineStr">
        <is>
          <t>Functional Trainer Pro</t>
        </is>
      </c>
      <c r="C179" s="10" t="inlineStr">
        <is>
          <t>Strength</t>
        </is>
      </c>
      <c r="D179" s="11" t="inlineStr">
        <is>
          <t>Yes</t>
        </is>
      </c>
      <c r="E179" s="11" t="inlineStr"/>
      <c r="F179" s="11" t="inlineStr">
        <is>
          <t>No</t>
        </is>
      </c>
      <c r="G179" s="12" t="n">
        <v>432</v>
      </c>
      <c r="H179" s="12" t="n">
        <v>241.5</v>
      </c>
      <c r="I179" s="12" t="n">
        <v>122.5</v>
      </c>
      <c r="J179" s="12" t="n">
        <v>30.5</v>
      </c>
      <c r="K179" s="10">
        <f>TRIM(IF(F179="No","Features ","")&amp;IF(G179="","Weight ","")&amp;IF(OR(H179="",I179="",J179="")," Dimensions",""))</f>
        <v/>
      </c>
      <c r="L179" s="11">
        <f>IF(OR(G179="",H179="",I179="",J179=""),"No data",IF(AND(G179&lt;=22,MAX(H179:J179)&lt;=105,(H179*I179*J179)/1000000&lt;=0.25),"Yes","Too big"))</f>
        <v/>
      </c>
      <c r="M179" s="10" t="inlineStr">
        <is>
          <t>/product/functional-trainer-pro</t>
        </is>
      </c>
    </row>
    <row r="180">
      <c r="A180" s="10" t="inlineStr">
        <is>
          <t>MSCSSE01</t>
        </is>
      </c>
      <c r="B180" s="10" t="inlineStr">
        <is>
          <t>Shoulder Press Machine Elite (Selectorize)</t>
        </is>
      </c>
      <c r="C180" s="10" t="inlineStr">
        <is>
          <t>Strength</t>
        </is>
      </c>
      <c r="D180" s="11" t="inlineStr">
        <is>
          <t>Yes</t>
        </is>
      </c>
      <c r="E180" s="11" t="inlineStr"/>
      <c r="F180" s="11" t="inlineStr">
        <is>
          <t>Yes</t>
        </is>
      </c>
      <c r="G180" s="12" t="n">
        <v>365</v>
      </c>
      <c r="H180" s="12" t="n">
        <v>161.5</v>
      </c>
      <c r="I180" s="12" t="n">
        <v>75.5</v>
      </c>
      <c r="J180" s="12" t="n">
        <v>36</v>
      </c>
      <c r="K180" s="10">
        <f>TRIM(IF(F180="No","Features ","")&amp;IF(G180="","Weight ","")&amp;IF(OR(H180="",I180="",J180="")," Dimensions",""))</f>
        <v/>
      </c>
      <c r="L180" s="11">
        <f>IF(OR(G180="",H180="",I180="",J180=""),"No data",IF(AND(G180&lt;=22,MAX(H180:J180)&lt;=105,(H180*I180*J180)/1000000&lt;=0.25),"Yes","Too big"))</f>
        <v/>
      </c>
      <c r="M180" s="10" t="inlineStr">
        <is>
          <t>/product/shoulder-press-machine-elite-selectorize</t>
        </is>
      </c>
    </row>
    <row r="181">
      <c r="A181" s="10" t="inlineStr">
        <is>
          <t>MSCSSE04</t>
        </is>
      </c>
      <c r="B181" s="10" t="inlineStr">
        <is>
          <t>Multi Press Machine Elite (Selectorize)</t>
        </is>
      </c>
      <c r="C181" s="10" t="inlineStr">
        <is>
          <t>Strength</t>
        </is>
      </c>
      <c r="D181" s="11" t="inlineStr">
        <is>
          <t>Yes</t>
        </is>
      </c>
      <c r="E181" s="11" t="inlineStr"/>
      <c r="F181" s="11" t="inlineStr">
        <is>
          <t>Yes</t>
        </is>
      </c>
      <c r="G181" s="12" t="n">
        <v>360</v>
      </c>
      <c r="H181" s="12" t="n">
        <v>160</v>
      </c>
      <c r="I181" s="12" t="n">
        <v>73</v>
      </c>
      <c r="J181" s="12" t="n">
        <v>35</v>
      </c>
      <c r="K181" s="10">
        <f>TRIM(IF(F181="No","Features ","")&amp;IF(G181="","Weight ","")&amp;IF(OR(H181="",I181="",J181="")," Dimensions",""))</f>
        <v/>
      </c>
      <c r="L181" s="11">
        <f>IF(OR(G181="",H181="",I181="",J181=""),"No data",IF(AND(G181&lt;=22,MAX(H181:J181)&lt;=105,(H181*I181*J181)/1000000&lt;=0.25),"Yes","Too big"))</f>
        <v/>
      </c>
      <c r="M181" s="10" t="inlineStr">
        <is>
          <t>/product/multi-press-machine-elite-selectorize</t>
        </is>
      </c>
    </row>
    <row r="182">
      <c r="A182" s="10" t="inlineStr">
        <is>
          <t>MSLBSE01</t>
        </is>
      </c>
      <c r="B182" s="10" t="inlineStr">
        <is>
          <t>Leg Extension Machine Elite (Selectorize)</t>
        </is>
      </c>
      <c r="C182" s="10" t="inlineStr">
        <is>
          <t>Strength</t>
        </is>
      </c>
      <c r="D182" s="11" t="inlineStr">
        <is>
          <t>Yes</t>
        </is>
      </c>
      <c r="E182" s="11" t="inlineStr"/>
      <c r="F182" s="11" t="inlineStr">
        <is>
          <t>Yes</t>
        </is>
      </c>
      <c r="G182" s="12" t="n">
        <v>329</v>
      </c>
      <c r="H182" s="12" t="n">
        <v>161.5</v>
      </c>
      <c r="I182" s="12" t="n">
        <v>75.5</v>
      </c>
      <c r="J182" s="12" t="n">
        <v>36</v>
      </c>
      <c r="K182" s="10">
        <f>TRIM(IF(F182="No","Features ","")&amp;IF(G182="","Weight ","")&amp;IF(OR(H182="",I182="",J182="")," Dimensions",""))</f>
        <v/>
      </c>
      <c r="L182" s="11">
        <f>IF(OR(G182="",H182="",I182="",J182=""),"No data",IF(AND(G182&lt;=22,MAX(H182:J182)&lt;=105,(H182*I182*J182)/1000000&lt;=0.25),"Yes","Too big"))</f>
        <v/>
      </c>
      <c r="M182" s="10" t="inlineStr">
        <is>
          <t>/product/leg-extension-machine-elite-selectorize</t>
        </is>
      </c>
    </row>
    <row r="183">
      <c r="A183" s="10" t="inlineStr">
        <is>
          <t>MSLBSE03</t>
        </is>
      </c>
      <c r="B183" s="10" t="inlineStr">
        <is>
          <t>Abductor &amp; Adductor Machine Elite (Selectorize)</t>
        </is>
      </c>
      <c r="C183" s="10" t="inlineStr">
        <is>
          <t>Strength</t>
        </is>
      </c>
      <c r="D183" s="11" t="inlineStr">
        <is>
          <t>Yes</t>
        </is>
      </c>
      <c r="E183" s="11" t="inlineStr"/>
      <c r="F183" s="11" t="inlineStr">
        <is>
          <t>Yes</t>
        </is>
      </c>
      <c r="G183" s="12" t="n">
        <v>175</v>
      </c>
      <c r="H183" s="12" t="n">
        <v>161.5</v>
      </c>
      <c r="I183" s="12" t="n">
        <v>75.5</v>
      </c>
      <c r="J183" s="12" t="n">
        <v>36</v>
      </c>
      <c r="K183" s="10">
        <f>TRIM(IF(F183="No","Features ","")&amp;IF(G183="","Weight ","")&amp;IF(OR(H183="",I183="",J183="")," Dimensions",""))</f>
        <v/>
      </c>
      <c r="L183" s="11">
        <f>IF(OR(G183="",H183="",I183="",J183=""),"No data",IF(AND(G183&lt;=22,MAX(H183:J183)&lt;=105,(H183*I183*J183)/1000000&lt;=0.25),"Yes","Too big"))</f>
        <v/>
      </c>
      <c r="M183" s="10" t="inlineStr">
        <is>
          <t>/product/abductor-adductor-machine-elite-selectorize</t>
        </is>
      </c>
    </row>
    <row r="184">
      <c r="A184" s="10" t="inlineStr">
        <is>
          <t>MSLBSE04</t>
        </is>
      </c>
      <c r="B184" s="10" t="inlineStr">
        <is>
          <t>Hip Thrust Machine Elite (Selectorize)</t>
        </is>
      </c>
      <c r="C184" s="10" t="inlineStr">
        <is>
          <t>Strength</t>
        </is>
      </c>
      <c r="D184" s="11" t="inlineStr">
        <is>
          <t>Yes</t>
        </is>
      </c>
      <c r="E184" s="11" t="inlineStr"/>
      <c r="F184" s="11" t="inlineStr">
        <is>
          <t>Yes</t>
        </is>
      </c>
      <c r="G184" s="12" t="n">
        <v>220</v>
      </c>
      <c r="H184" s="12" t="n">
        <v>161.5</v>
      </c>
      <c r="I184" s="12" t="n">
        <v>75.5</v>
      </c>
      <c r="J184" s="12" t="n">
        <v>35.5</v>
      </c>
      <c r="K184" s="10">
        <f>TRIM(IF(F184="No","Features ","")&amp;IF(G184="","Weight ","")&amp;IF(OR(H184="",I184="",J184="")," Dimensions",""))</f>
        <v/>
      </c>
      <c r="L184" s="11">
        <f>IF(OR(G184="",H184="",I184="",J184=""),"No data",IF(AND(G184&lt;=22,MAX(H184:J184)&lt;=105,(H184*I184*J184)/1000000&lt;=0.25),"Yes","Too big"))</f>
        <v/>
      </c>
      <c r="M184" s="10" t="inlineStr">
        <is>
          <t>/product/hip-thrust-machine-elite-selectorize</t>
        </is>
      </c>
    </row>
    <row r="185">
      <c r="A185" s="10" t="inlineStr">
        <is>
          <t>MSLBSE05</t>
        </is>
      </c>
      <c r="B185" s="10" t="inlineStr">
        <is>
          <t>Leg Extension &amp; Leg Curl Machine Elite (Selectorize)</t>
        </is>
      </c>
      <c r="C185" s="10" t="inlineStr">
        <is>
          <t>Strength</t>
        </is>
      </c>
      <c r="D185" s="11" t="inlineStr">
        <is>
          <t>Yes</t>
        </is>
      </c>
      <c r="E185" s="11" t="inlineStr"/>
      <c r="F185" s="11" t="inlineStr">
        <is>
          <t>Yes</t>
        </is>
      </c>
      <c r="G185" s="12" t="n">
        <v>382</v>
      </c>
      <c r="H185" s="12" t="n">
        <v>181.5</v>
      </c>
      <c r="I185" s="12" t="n">
        <v>75.5</v>
      </c>
      <c r="J185" s="12" t="n">
        <v>40.5</v>
      </c>
      <c r="K185" s="10">
        <f>TRIM(IF(F185="No","Features ","")&amp;IF(G185="","Weight ","")&amp;IF(OR(H185="",I185="",J185="")," Dimensions",""))</f>
        <v/>
      </c>
      <c r="L185" s="11">
        <f>IF(OR(G185="",H185="",I185="",J185=""),"No data",IF(AND(G185&lt;=22,MAX(H185:J185)&lt;=105,(H185*I185*J185)/1000000&lt;=0.25),"Yes","Too big"))</f>
        <v/>
      </c>
      <c r="M185" s="10" t="inlineStr">
        <is>
          <t>/product/leg-extension-leg-curl-machine-elite-selectorize</t>
        </is>
      </c>
    </row>
    <row r="186">
      <c r="A186" s="10" t="inlineStr">
        <is>
          <t>MSWBFW01</t>
        </is>
      </c>
      <c r="B186" s="10" t="inlineStr">
        <is>
          <t>Flat Utility Weight Bench Pro (Angled Legs)</t>
        </is>
      </c>
      <c r="C186" s="10" t="inlineStr">
        <is>
          <t>Strength</t>
        </is>
      </c>
      <c r="D186" s="11" t="inlineStr">
        <is>
          <t>Yes</t>
        </is>
      </c>
      <c r="E186" s="11" t="inlineStr"/>
      <c r="F186" s="11" t="inlineStr">
        <is>
          <t>Yes</t>
        </is>
      </c>
      <c r="G186" s="12" t="n">
        <v>26</v>
      </c>
      <c r="H186" s="12" t="n">
        <v>118</v>
      </c>
      <c r="I186" s="12" t="n">
        <v>52.5</v>
      </c>
      <c r="J186" s="12" t="n">
        <v>46.2</v>
      </c>
      <c r="K186" s="10">
        <f>TRIM(IF(F186="No","Features ","")&amp;IF(G186="","Weight ","")&amp;IF(OR(H186="",I186="",J186="")," Dimensions",""))</f>
        <v/>
      </c>
      <c r="L186" s="11">
        <f>IF(OR(G186="",H186="",I186="",J186=""),"No data",IF(AND(G186&lt;=22,MAX(H186:J186)&lt;=105,(H186*I186*J186)/1000000&lt;=0.25),"Yes","Too big"))</f>
        <v/>
      </c>
      <c r="M186" s="10" t="inlineStr">
        <is>
          <t>/product/flat-utility-weight-bench-pro-angled-legs-2</t>
        </is>
      </c>
    </row>
    <row r="187">
      <c r="A187" s="10" t="inlineStr">
        <is>
          <t>MSWBFW02</t>
        </is>
      </c>
      <c r="B187" s="10" t="inlineStr">
        <is>
          <t>Adjustable Utility Weight Bench Pro</t>
        </is>
      </c>
      <c r="C187" s="10" t="inlineStr">
        <is>
          <t>Strength</t>
        </is>
      </c>
      <c r="D187" s="11" t="inlineStr">
        <is>
          <t>Yes</t>
        </is>
      </c>
      <c r="E187" s="11" t="inlineStr"/>
      <c r="F187" s="11" t="inlineStr">
        <is>
          <t>Yes</t>
        </is>
      </c>
      <c r="G187" s="12" t="n">
        <v>39</v>
      </c>
      <c r="H187" s="12" t="n">
        <v>138</v>
      </c>
      <c r="I187" s="12" t="n">
        <v>25</v>
      </c>
      <c r="J187" s="12" t="n">
        <v>47</v>
      </c>
      <c r="K187" s="10">
        <f>TRIM(IF(F187="No","Features ","")&amp;IF(G187="","Weight ","")&amp;IF(OR(H187="",I187="",J187="")," Dimensions",""))</f>
        <v/>
      </c>
      <c r="L187" s="11">
        <f>IF(OR(G187="",H187="",I187="",J187=""),"No data",IF(AND(G187&lt;=22,MAX(H187:J187)&lt;=105,(H187*I187*J187)/1000000&lt;=0.25),"Yes","Too big"))</f>
        <v/>
      </c>
      <c r="M187" s="10" t="inlineStr">
        <is>
          <t>/product/adjustable-utility-weight-bench-pro-3</t>
        </is>
      </c>
    </row>
    <row r="188">
      <c r="A188" s="10" t="inlineStr">
        <is>
          <t>AWBBOL03</t>
        </is>
      </c>
      <c r="B188" s="10" t="inlineStr">
        <is>
          <t>Olympic Barbell - 15kg (1500Lb Capacity)</t>
        </is>
      </c>
      <c r="C188" s="10" t="inlineStr">
        <is>
          <t>Weightlifting</t>
        </is>
      </c>
      <c r="D188" s="11" t="inlineStr">
        <is>
          <t>Yes</t>
        </is>
      </c>
      <c r="E188" s="11" t="inlineStr">
        <is>
          <t>Yes</t>
        </is>
      </c>
      <c r="F188" s="11" t="inlineStr">
        <is>
          <t>No</t>
        </is>
      </c>
      <c r="G188" s="12" t="n">
        <v>16</v>
      </c>
      <c r="H188" s="12" t="n">
        <v>205</v>
      </c>
      <c r="I188" s="12" t="n">
        <v>8</v>
      </c>
      <c r="J188" s="12" t="n">
        <v>8</v>
      </c>
      <c r="K188" s="10">
        <f>TRIM(IF(F188="No","Features ","")&amp;IF(G188="","Weight ","")&amp;IF(OR(H188="",I188="",J188="")," Dimensions",""))</f>
        <v/>
      </c>
      <c r="L188" s="11">
        <f>IF(OR(G188="",H188="",I188="",J188=""),"No data",IF(AND(G188&lt;=22,MAX(H188:J188)&lt;=105,(H188*I188*J188)/1000000&lt;=0.25),"Yes","Too big"))</f>
        <v/>
      </c>
      <c r="M188" s="10" t="inlineStr">
        <is>
          <t>/product/olympic-barbell-15kg-1500lb-capacity</t>
        </is>
      </c>
    </row>
    <row r="189">
      <c r="A189" s="10" t="inlineStr">
        <is>
          <t>AWWLACC02</t>
        </is>
      </c>
      <c r="B189" s="10" t="inlineStr">
        <is>
          <t>Olympic Bar Easy Lock Collars (Pair)</t>
        </is>
      </c>
      <c r="C189" s="10" t="inlineStr">
        <is>
          <t>Weightlifting</t>
        </is>
      </c>
      <c r="D189" s="11" t="inlineStr">
        <is>
          <t>Yes</t>
        </is>
      </c>
      <c r="E189" s="11" t="inlineStr">
        <is>
          <t>Yes</t>
        </is>
      </c>
      <c r="F189" s="11" t="inlineStr">
        <is>
          <t>No</t>
        </is>
      </c>
      <c r="G189" s="12" t="n">
        <v>1</v>
      </c>
      <c r="H189" s="12" t="n">
        <v>5.3</v>
      </c>
      <c r="I189" s="12" t="n">
        <v>5.3</v>
      </c>
      <c r="J189" s="12" t="n">
        <v>6.5</v>
      </c>
      <c r="K189" s="10">
        <f>TRIM(IF(F189="No","Features ","")&amp;IF(G189="","Weight ","")&amp;IF(OR(H189="",I189="",J189="")," Dimensions",""))</f>
        <v/>
      </c>
      <c r="L189" s="11">
        <f>IF(OR(G189="",H189="",I189="",J189=""),"No data",IF(AND(G189&lt;=22,MAX(H189:J189)&lt;=105,(H189*I189*J189)/1000000&lt;=0.25),"Yes","Too big"))</f>
        <v/>
      </c>
      <c r="M189" s="10" t="inlineStr">
        <is>
          <t>/product/olympic-bar-easy-lock-collars-pair</t>
        </is>
      </c>
    </row>
    <row r="190">
      <c r="A190" s="10" t="inlineStr">
        <is>
          <t>AWWPCB</t>
        </is>
      </c>
      <c r="B190" s="10" t="inlineStr">
        <is>
          <t>Competition Bumper Plates</t>
        </is>
      </c>
      <c r="C190" s="10" t="inlineStr">
        <is>
          <t>Weightlifting</t>
        </is>
      </c>
      <c r="D190" s="11" t="inlineStr">
        <is>
          <t>Yes</t>
        </is>
      </c>
      <c r="E190" s="11" t="inlineStr">
        <is>
          <t>Yes</t>
        </is>
      </c>
      <c r="F190" s="11" t="inlineStr">
        <is>
          <t>Yes</t>
        </is>
      </c>
      <c r="G190" s="12" t="n">
        <v>11</v>
      </c>
      <c r="H190" s="12" t="n">
        <v>46</v>
      </c>
      <c r="I190" s="12" t="n">
        <v>46</v>
      </c>
      <c r="J190" s="12" t="n">
        <v>4.5</v>
      </c>
      <c r="K190" s="10">
        <f>TRIM(IF(F190="No","Features ","")&amp;IF(G190="","Weight ","")&amp;IF(OR(H190="",I190="",J190="")," Dimensions",""))</f>
        <v/>
      </c>
      <c r="L190" s="11">
        <f>IF(OR(G190="",H190="",I190="",J190=""),"No data",IF(AND(G190&lt;=22,MAX(H190:J190)&lt;=105,(H190*I190*J190)/1000000&lt;=0.25),"Yes","Too big"))</f>
        <v/>
      </c>
      <c r="M190" s="10" t="inlineStr">
        <is>
          <t>/product/competition-bumper-plates-alt-v</t>
        </is>
      </c>
    </row>
    <row r="191">
      <c r="A191" s="10" t="inlineStr">
        <is>
          <t>AWWPCP01</t>
        </is>
      </c>
      <c r="B191" s="10" t="inlineStr">
        <is>
          <t>Change Plates 2.5kg (Red)</t>
        </is>
      </c>
      <c r="C191" s="10" t="inlineStr">
        <is>
          <t>Weightlifting</t>
        </is>
      </c>
      <c r="D191" s="11" t="inlineStr">
        <is>
          <t>Yes</t>
        </is>
      </c>
      <c r="E191" s="11" t="inlineStr">
        <is>
          <t>Yes</t>
        </is>
      </c>
      <c r="F191" s="11" t="inlineStr">
        <is>
          <t>Yes</t>
        </is>
      </c>
      <c r="G191" s="12" t="n">
        <v>3</v>
      </c>
      <c r="H191" s="12" t="n">
        <v>22</v>
      </c>
      <c r="I191" s="12" t="n">
        <v>22</v>
      </c>
      <c r="J191" s="12" t="n">
        <v>13.5</v>
      </c>
      <c r="K191" s="10">
        <f>TRIM(IF(F191="No","Features ","")&amp;IF(G191="","Weight ","")&amp;IF(OR(H191="",I191="",J191="")," Dimensions",""))</f>
        <v/>
      </c>
      <c r="L191" s="11">
        <f>IF(OR(G191="",H191="",I191="",J191=""),"No data",IF(AND(G191&lt;=22,MAX(H191:J191)&lt;=105,(H191*I191*J191)/1000000&lt;=0.25),"Yes","Too big"))</f>
        <v/>
      </c>
      <c r="M191" s="10" t="inlineStr">
        <is>
          <t>/product/change-plates-2-5kg-red</t>
        </is>
      </c>
    </row>
    <row r="192">
      <c r="A192" s="10" t="inlineStr">
        <is>
          <t>AWWPCP02</t>
        </is>
      </c>
      <c r="B192" s="10" t="inlineStr">
        <is>
          <t>Change Plates 2.5kg (White)</t>
        </is>
      </c>
      <c r="C192" s="10" t="inlineStr">
        <is>
          <t>Weightlifting</t>
        </is>
      </c>
      <c r="D192" s="11" t="inlineStr">
        <is>
          <t>Yes</t>
        </is>
      </c>
      <c r="E192" s="11" t="inlineStr">
        <is>
          <t>Yes</t>
        </is>
      </c>
      <c r="F192" s="11" t="inlineStr">
        <is>
          <t>Yes</t>
        </is>
      </c>
      <c r="G192" s="12" t="n">
        <v>3</v>
      </c>
      <c r="H192" s="12" t="n">
        <v>22</v>
      </c>
      <c r="I192" s="12" t="n">
        <v>22</v>
      </c>
      <c r="J192" s="12" t="n">
        <v>13.5</v>
      </c>
      <c r="K192" s="10">
        <f>TRIM(IF(F192="No","Features ","")&amp;IF(G192="","Weight ","")&amp;IF(OR(H192="",I192="",J192="")," Dimensions",""))</f>
        <v/>
      </c>
      <c r="L192" s="11">
        <f>IF(OR(G192="",H192="",I192="",J192=""),"No data",IF(AND(G192&lt;=22,MAX(H192:J192)&lt;=105,(H192*I192*J192)/1000000&lt;=0.25),"Yes","Too big"))</f>
        <v/>
      </c>
      <c r="M192" s="10" t="inlineStr">
        <is>
          <t>/product/change-plates-alt-v</t>
        </is>
      </c>
    </row>
    <row r="193">
      <c r="A193" s="10" t="inlineStr">
        <is>
          <t>AWWPOU</t>
        </is>
      </c>
      <c r="B193" s="10" t="inlineStr">
        <is>
          <t>Olympic Urethane Weight Plates</t>
        </is>
      </c>
      <c r="C193" s="10" t="inlineStr">
        <is>
          <t>Weightlifting</t>
        </is>
      </c>
      <c r="D193" s="11" t="inlineStr">
        <is>
          <t>Yes</t>
        </is>
      </c>
      <c r="E193" s="11" t="inlineStr">
        <is>
          <t>Yes</t>
        </is>
      </c>
      <c r="F193" s="11" t="inlineStr">
        <is>
          <t>Yes</t>
        </is>
      </c>
      <c r="G193" s="12" t="n">
        <v>11</v>
      </c>
      <c r="H193" s="12" t="n">
        <v>33.2</v>
      </c>
      <c r="I193" s="12" t="n">
        <v>33.2</v>
      </c>
      <c r="J193" s="12" t="n">
        <v>5</v>
      </c>
      <c r="K193" s="10">
        <f>TRIM(IF(F193="No","Features ","")&amp;IF(G193="","Weight ","")&amp;IF(OR(H193="",I193="",J193="")," Dimensions",""))</f>
        <v/>
      </c>
      <c r="L193" s="11">
        <f>IF(OR(G193="",H193="",I193="",J193=""),"No data",IF(AND(G193&lt;=22,MAX(H193:J193)&lt;=105,(H193*I193*J193)/1000000&lt;=0.25),"Yes","Too big"))</f>
        <v/>
      </c>
      <c r="M193" s="10" t="inlineStr">
        <is>
          <t>/product/olympic-urethane-weight-plates-alt-v</t>
        </is>
      </c>
    </row>
    <row r="194">
      <c r="A194" s="10" t="inlineStr">
        <is>
          <t>MMLBACC01</t>
        </is>
      </c>
      <c r="B194" s="10" t="inlineStr">
        <is>
          <t>Slant Board</t>
        </is>
      </c>
      <c r="C194" s="10" t="inlineStr">
        <is>
          <t>Weightlifting</t>
        </is>
      </c>
      <c r="D194" s="11" t="inlineStr">
        <is>
          <t>Yes</t>
        </is>
      </c>
      <c r="E194" s="11" t="inlineStr"/>
      <c r="F194" s="11" t="inlineStr">
        <is>
          <t>Yes</t>
        </is>
      </c>
      <c r="G194" s="12" t="n">
        <v>7</v>
      </c>
      <c r="H194" s="12" t="n">
        <v>60</v>
      </c>
      <c r="I194" s="12" t="n">
        <v>36</v>
      </c>
      <c r="J194" s="12" t="n">
        <v>16</v>
      </c>
      <c r="K194" s="10">
        <f>TRIM(IF(F194="No","Features ","")&amp;IF(G194="","Weight ","")&amp;IF(OR(H194="",I194="",J194="")," Dimensions",""))</f>
        <v/>
      </c>
      <c r="L194" s="11">
        <f>IF(OR(G194="",H194="",I194="",J194=""),"No data",IF(AND(G194&lt;=22,MAX(H194:J194)&lt;=105,(H194*I194*J194)/1000000&lt;=0.25),"Yes","Too big"))</f>
        <v/>
      </c>
      <c r="M194" s="10" t="inlineStr">
        <is>
          <t>/product/slant-board-2</t>
        </is>
      </c>
    </row>
    <row r="195">
      <c r="A195" s="10" t="inlineStr">
        <is>
          <t>MWBBFRU-GROUP</t>
        </is>
      </c>
      <c r="B195" s="10" t="inlineStr">
        <is>
          <t>Rubber Fixed Barbells</t>
        </is>
      </c>
      <c r="C195" s="10" t="inlineStr">
        <is>
          <t>Weightlifting</t>
        </is>
      </c>
      <c r="D195" s="11" t="inlineStr">
        <is>
          <t>Yes</t>
        </is>
      </c>
      <c r="E195" s="11" t="inlineStr"/>
      <c r="F195" s="11" t="inlineStr">
        <is>
          <t>Yes</t>
        </is>
      </c>
      <c r="G195" s="12" t="n">
        <v>11</v>
      </c>
      <c r="H195" s="12" t="n">
        <v>105.4</v>
      </c>
      <c r="I195" s="12" t="n">
        <v>16.3</v>
      </c>
      <c r="J195" s="12" t="n">
        <v>16.3</v>
      </c>
      <c r="K195" s="10">
        <f>TRIM(IF(F195="No","Features ","")&amp;IF(G195="","Weight ","")&amp;IF(OR(H195="",I195="",J195="")," Dimensions",""))</f>
        <v/>
      </c>
      <c r="L195" s="11">
        <f>IF(OR(G195="",H195="",I195="",J195=""),"No data",IF(AND(G195&lt;=22,MAX(H195:J195)&lt;=105,(H195*I195*J195)/1000000&lt;=0.25),"Yes","Too big"))</f>
        <v/>
      </c>
      <c r="M195" s="10" t="inlineStr">
        <is>
          <t>/product/rubber-fixed-barbells-2</t>
        </is>
      </c>
    </row>
    <row r="196">
      <c r="A196" s="10" t="inlineStr">
        <is>
          <t>MWBBFRZ-GROUP</t>
        </is>
      </c>
      <c r="B196" s="10" t="inlineStr">
        <is>
          <t>Rubber EZ Fixed Barbells</t>
        </is>
      </c>
      <c r="C196" s="10" t="inlineStr">
        <is>
          <t>Weightlifting</t>
        </is>
      </c>
      <c r="D196" s="11" t="inlineStr">
        <is>
          <t>Yes</t>
        </is>
      </c>
      <c r="E196" s="11" t="inlineStr"/>
      <c r="F196" s="11" t="inlineStr">
        <is>
          <t>Yes</t>
        </is>
      </c>
      <c r="G196" s="12" t="n">
        <v>11</v>
      </c>
      <c r="H196" s="12" t="n">
        <v>105.4</v>
      </c>
      <c r="I196" s="12" t="n">
        <v>16.3</v>
      </c>
      <c r="J196" s="12" t="n">
        <v>16.3</v>
      </c>
      <c r="K196" s="10">
        <f>TRIM(IF(F196="No","Features ","")&amp;IF(G196="","Weight ","")&amp;IF(OR(H196="",I196="",J196="")," Dimensions",""))</f>
        <v/>
      </c>
      <c r="L196" s="11">
        <f>IF(OR(G196="",H196="",I196="",J196=""),"No data",IF(AND(G196&lt;=22,MAX(H196:J196)&lt;=105,(H196*I196*J196)/1000000&lt;=0.25),"Yes","Too big"))</f>
        <v/>
      </c>
      <c r="M196" s="10" t="inlineStr">
        <is>
          <t>/product/rubber-ez-fixed-barbells-2</t>
        </is>
      </c>
    </row>
    <row r="197">
      <c r="A197" s="10" t="inlineStr">
        <is>
          <t>MWBBFUR</t>
        </is>
      </c>
      <c r="B197" s="10" t="inlineStr">
        <is>
          <t>Urethane Fixed Barbells</t>
        </is>
      </c>
      <c r="C197" s="10" t="inlineStr">
        <is>
          <t>Weightlifting</t>
        </is>
      </c>
      <c r="D197" s="11" t="inlineStr">
        <is>
          <t>Yes</t>
        </is>
      </c>
      <c r="E197" s="11" t="inlineStr"/>
      <c r="F197" s="11" t="inlineStr">
        <is>
          <t>Yes</t>
        </is>
      </c>
      <c r="G197" s="12" t="n">
        <v>11</v>
      </c>
      <c r="H197" s="12" t="n">
        <v>105.4</v>
      </c>
      <c r="I197" s="12" t="n">
        <v>16.3</v>
      </c>
      <c r="J197" s="12" t="n">
        <v>16.3</v>
      </c>
      <c r="K197" s="10">
        <f>TRIM(IF(F197="No","Features ","")&amp;IF(G197="","Weight ","")&amp;IF(OR(H197="",I197="",J197="")," Dimensions",""))</f>
        <v/>
      </c>
      <c r="L197" s="11">
        <f>IF(OR(G197="",H197="",I197="",J197=""),"No data",IF(AND(G197&lt;=22,MAX(H197:J197)&lt;=105,(H197*I197*J197)/1000000&lt;=0.25),"Yes","Too big"))</f>
        <v/>
      </c>
      <c r="M197" s="10" t="inlineStr">
        <is>
          <t>/product/urethane-fixed-barbells-v</t>
        </is>
      </c>
    </row>
    <row r="198">
      <c r="A198" s="10" t="inlineStr">
        <is>
          <t>MWBBFUR-GROUP</t>
        </is>
      </c>
      <c r="B198" s="10" t="inlineStr">
        <is>
          <t>Urethane Fixed Barbells</t>
        </is>
      </c>
      <c r="C198" s="10" t="inlineStr">
        <is>
          <t>Weightlifting</t>
        </is>
      </c>
      <c r="D198" s="11" t="inlineStr">
        <is>
          <t>Yes</t>
        </is>
      </c>
      <c r="E198" s="11" t="inlineStr"/>
      <c r="F198" s="11" t="inlineStr">
        <is>
          <t>Yes</t>
        </is>
      </c>
      <c r="G198" s="12" t="n">
        <v>11</v>
      </c>
      <c r="H198" s="12" t="n">
        <v>105.4</v>
      </c>
      <c r="I198" s="12" t="n">
        <v>16.3</v>
      </c>
      <c r="J198" s="12" t="n">
        <v>16.3</v>
      </c>
      <c r="K198" s="10">
        <f>TRIM(IF(F198="No","Features ","")&amp;IF(G198="","Weight ","")&amp;IF(OR(H198="",I198="",J198="")," Dimensions",""))</f>
        <v/>
      </c>
      <c r="L198" s="11">
        <f>IF(OR(G198="",H198="",I198="",J198=""),"No data",IF(AND(G198&lt;=22,MAX(H198:J198)&lt;=105,(H198*I198*J198)/1000000&lt;=0.25),"Yes","Too big"))</f>
        <v/>
      </c>
      <c r="M198" s="10" t="inlineStr">
        <is>
          <t>/product/urethane-fixed-barbells-2</t>
        </is>
      </c>
    </row>
    <row r="199">
      <c r="A199" s="10" t="inlineStr">
        <is>
          <t>MWBBOL01</t>
        </is>
      </c>
      <c r="B199" s="10" t="inlineStr">
        <is>
          <t>Olympic Ez Curl Bar</t>
        </is>
      </c>
      <c r="C199" s="10" t="inlineStr">
        <is>
          <t>Weightlifting</t>
        </is>
      </c>
      <c r="D199" s="11" t="inlineStr">
        <is>
          <t>Yes</t>
        </is>
      </c>
      <c r="E199" s="11" t="inlineStr"/>
      <c r="F199" s="11" t="inlineStr">
        <is>
          <t>No</t>
        </is>
      </c>
      <c r="G199" s="12" t="n">
        <v>10</v>
      </c>
      <c r="H199" s="12" t="n">
        <v>122</v>
      </c>
      <c r="I199" s="12" t="n">
        <v>8.5</v>
      </c>
      <c r="J199" s="12" t="n">
        <v>8.5</v>
      </c>
      <c r="K199" s="10">
        <f>TRIM(IF(F199="No","Features ","")&amp;IF(G199="","Weight ","")&amp;IF(OR(H199="",I199="",J199="")," Dimensions",""))</f>
        <v/>
      </c>
      <c r="L199" s="11">
        <f>IF(OR(G199="",H199="",I199="",J199=""),"No data",IF(AND(G199&lt;=22,MAX(H199:J199)&lt;=105,(H199*I199*J199)/1000000&lt;=0.25),"Yes","Too big"))</f>
        <v/>
      </c>
      <c r="M199" s="10" t="inlineStr">
        <is>
          <t>/product/olympic-ez-curl-bar</t>
        </is>
      </c>
    </row>
    <row r="200">
      <c r="A200" s="10" t="inlineStr">
        <is>
          <t>MWBBOL02</t>
        </is>
      </c>
      <c r="B200" s="10" t="inlineStr">
        <is>
          <t>Olympic Barbell - 7ft Chrome (1000Lb Capacity)</t>
        </is>
      </c>
      <c r="C200" s="10" t="inlineStr">
        <is>
          <t>Weightlifting</t>
        </is>
      </c>
      <c r="D200" s="11" t="inlineStr">
        <is>
          <t>Yes</t>
        </is>
      </c>
      <c r="E200" s="11" t="inlineStr"/>
      <c r="F200" s="11" t="inlineStr">
        <is>
          <t>No</t>
        </is>
      </c>
      <c r="G200" s="12" t="n">
        <v>21</v>
      </c>
      <c r="H200" s="12" t="n">
        <v>220.5</v>
      </c>
      <c r="I200" s="12" t="n">
        <v>10</v>
      </c>
      <c r="J200" s="12" t="n">
        <v>10</v>
      </c>
      <c r="K200" s="10">
        <f>TRIM(IF(F200="No","Features ","")&amp;IF(G200="","Weight ","")&amp;IF(OR(H200="",I200="",J200="")," Dimensions",""))</f>
        <v/>
      </c>
      <c r="L200" s="11">
        <f>IF(OR(G200="",H200="",I200="",J200=""),"No data",IF(AND(G200&lt;=22,MAX(H200:J200)&lt;=105,(H200*I200*J200)/1000000&lt;=0.25),"Yes","Too big"))</f>
        <v/>
      </c>
      <c r="M200" s="10" t="inlineStr">
        <is>
          <t>/product/olympic-barbell-7ft-chrome-1000lb-capacity</t>
        </is>
      </c>
    </row>
    <row r="201">
      <c r="A201" s="10" t="inlineStr">
        <is>
          <t>MWBBOL03</t>
        </is>
      </c>
      <c r="B201" s="10" t="inlineStr">
        <is>
          <t>Olympic Barbell - 15kg (1500Lb Capacity)</t>
        </is>
      </c>
      <c r="C201" s="10" t="inlineStr">
        <is>
          <t>Weightlifting</t>
        </is>
      </c>
      <c r="D201" s="11" t="inlineStr">
        <is>
          <t>Yes</t>
        </is>
      </c>
      <c r="E201" s="11" t="inlineStr"/>
      <c r="F201" s="11" t="inlineStr">
        <is>
          <t>No</t>
        </is>
      </c>
      <c r="G201" s="12" t="n">
        <v>16</v>
      </c>
      <c r="H201" s="12" t="n">
        <v>205</v>
      </c>
      <c r="I201" s="12" t="n">
        <v>8</v>
      </c>
      <c r="J201" s="12" t="n">
        <v>8</v>
      </c>
      <c r="K201" s="10">
        <f>TRIM(IF(F201="No","Features ","")&amp;IF(G201="","Weight ","")&amp;IF(OR(H201="",I201="",J201="")," Dimensions",""))</f>
        <v/>
      </c>
      <c r="L201" s="11">
        <f>IF(OR(G201="",H201="",I201="",J201=""),"No data",IF(AND(G201&lt;=22,MAX(H201:J201)&lt;=105,(H201*I201*J201)/1000000&lt;=0.25),"Yes","Too big"))</f>
        <v/>
      </c>
      <c r="M201" s="10" t="inlineStr">
        <is>
          <t>/product/olympic-barbell-15kg-1500lb-capacity-3</t>
        </is>
      </c>
    </row>
    <row r="202">
      <c r="A202" s="10" t="inlineStr">
        <is>
          <t>MWBBOL04</t>
        </is>
      </c>
      <c r="B202" s="10" t="inlineStr">
        <is>
          <t>Olympic Barbell - 20kg (2000Lb Capacity)</t>
        </is>
      </c>
      <c r="C202" s="10" t="inlineStr">
        <is>
          <t>Weightlifting</t>
        </is>
      </c>
      <c r="D202" s="11" t="inlineStr">
        <is>
          <t>Yes</t>
        </is>
      </c>
      <c r="E202" s="11" t="inlineStr"/>
      <c r="F202" s="11" t="inlineStr">
        <is>
          <t>No</t>
        </is>
      </c>
      <c r="G202" s="12" t="n">
        <v>21</v>
      </c>
      <c r="H202" s="12" t="n">
        <v>224</v>
      </c>
      <c r="I202" s="12" t="n">
        <v>8</v>
      </c>
      <c r="J202" s="12" t="n">
        <v>8</v>
      </c>
      <c r="K202" s="10">
        <f>TRIM(IF(F202="No","Features ","")&amp;IF(G202="","Weight ","")&amp;IF(OR(H202="",I202="",J202="")," Dimensions",""))</f>
        <v/>
      </c>
      <c r="L202" s="11">
        <f>IF(OR(G202="",H202="",I202="",J202=""),"No data",IF(AND(G202&lt;=22,MAX(H202:J202)&lt;=105,(H202*I202*J202)/1000000&lt;=0.25),"Yes","Too big"))</f>
        <v/>
      </c>
      <c r="M202" s="10" t="inlineStr">
        <is>
          <t>/product/olympic-barbell-20kg-2000lb-capacity-3</t>
        </is>
      </c>
    </row>
    <row r="203">
      <c r="A203" s="10" t="inlineStr">
        <is>
          <t>MWBBOL05</t>
        </is>
      </c>
      <c r="B203" s="10" t="inlineStr">
        <is>
          <t>Olympic Hex Deadlift Barbell (350mm Loadable Sleeves)</t>
        </is>
      </c>
      <c r="C203" s="10" t="inlineStr">
        <is>
          <t>Weightlifting</t>
        </is>
      </c>
      <c r="D203" s="11" t="inlineStr">
        <is>
          <t>Yes</t>
        </is>
      </c>
      <c r="E203" s="11" t="inlineStr"/>
      <c r="F203" s="11" t="inlineStr">
        <is>
          <t>No</t>
        </is>
      </c>
      <c r="G203" s="12" t="n">
        <v>23</v>
      </c>
      <c r="H203" s="12" t="n">
        <v>163.5</v>
      </c>
      <c r="I203" s="12" t="n">
        <v>57</v>
      </c>
      <c r="J203" s="12" t="n">
        <v>16</v>
      </c>
      <c r="K203" s="10">
        <f>TRIM(IF(F203="No","Features ","")&amp;IF(G203="","Weight ","")&amp;IF(OR(H203="",I203="",J203="")," Dimensions",""))</f>
        <v/>
      </c>
      <c r="L203" s="11">
        <f>IF(OR(G203="",H203="",I203="",J203=""),"No data",IF(AND(G203&lt;=22,MAX(H203:J203)&lt;=105,(H203*I203*J203)/1000000&lt;=0.25),"Yes","Too big"))</f>
        <v/>
      </c>
      <c r="M203" s="10" t="inlineStr">
        <is>
          <t>/product/olympic-hex-deadlift-barbell-350mm-loadable-sleeves-2</t>
        </is>
      </c>
    </row>
    <row r="204">
      <c r="A204" s="10" t="inlineStr">
        <is>
          <t>MWBBOL06</t>
        </is>
      </c>
      <c r="B204" s="10" t="inlineStr">
        <is>
          <t>Olympic Hex Deadlift Barbell (400mm Loadable Sleeves)</t>
        </is>
      </c>
      <c r="C204" s="10" t="inlineStr">
        <is>
          <t>Weightlifting</t>
        </is>
      </c>
      <c r="D204" s="11" t="inlineStr">
        <is>
          <t>Yes</t>
        </is>
      </c>
      <c r="E204" s="11" t="inlineStr"/>
      <c r="F204" s="11" t="inlineStr">
        <is>
          <t>No</t>
        </is>
      </c>
      <c r="G204" s="12" t="n">
        <v>23</v>
      </c>
      <c r="H204" s="12" t="n">
        <v>163.5</v>
      </c>
      <c r="I204" s="12" t="n">
        <v>57</v>
      </c>
      <c r="J204" s="12" t="n">
        <v>16</v>
      </c>
      <c r="K204" s="10">
        <f>TRIM(IF(F204="No","Features ","")&amp;IF(G204="","Weight ","")&amp;IF(OR(H204="",I204="",J204="")," Dimensions",""))</f>
        <v/>
      </c>
      <c r="L204" s="11">
        <f>IF(OR(G204="",H204="",I204="",J204=""),"No data",IF(AND(G204&lt;=22,MAX(H204:J204)&lt;=105,(H204*I204*J204)/1000000&lt;=0.25),"Yes","Too big"))</f>
        <v/>
      </c>
      <c r="M204" s="10" t="inlineStr">
        <is>
          <t>/product/olympic-hex-deadlift-barbell-400mm-loadable-sleeves</t>
        </is>
      </c>
    </row>
    <row r="205">
      <c r="A205" s="10" t="inlineStr">
        <is>
          <t>MWBBOL07</t>
        </is>
      </c>
      <c r="B205" s="10" t="inlineStr">
        <is>
          <t>Olympic Safety Squat Bar (1500Lb Capacity)</t>
        </is>
      </c>
      <c r="C205" s="10" t="inlineStr">
        <is>
          <t>Weightlifting</t>
        </is>
      </c>
      <c r="D205" s="11" t="inlineStr">
        <is>
          <t>Yes</t>
        </is>
      </c>
      <c r="E205" s="11" t="inlineStr"/>
      <c r="F205" s="11" t="inlineStr">
        <is>
          <t>Yes</t>
        </is>
      </c>
      <c r="G205" s="12" t="n">
        <v>30</v>
      </c>
      <c r="H205" s="12" t="n">
        <v>230</v>
      </c>
      <c r="I205" s="12" t="n">
        <v>42</v>
      </c>
      <c r="J205" s="12" t="n">
        <v>6.5</v>
      </c>
      <c r="K205" s="10">
        <f>TRIM(IF(F205="No","Features ","")&amp;IF(G205="","Weight ","")&amp;IF(OR(H205="",I205="",J205="")," Dimensions",""))</f>
        <v/>
      </c>
      <c r="L205" s="11">
        <f>IF(OR(G205="",H205="",I205="",J205=""),"No data",IF(AND(G205&lt;=22,MAX(H205:J205)&lt;=105,(H205*I205*J205)/1000000&lt;=0.25),"Yes","Too big"))</f>
        <v/>
      </c>
      <c r="M205" s="10" t="inlineStr">
        <is>
          <t>/product/olympic-safety-squat-bar-1500lb-capacity</t>
        </is>
      </c>
    </row>
    <row r="206">
      <c r="A206" s="10" t="inlineStr">
        <is>
          <t>MWBBOL08</t>
        </is>
      </c>
      <c r="B206" s="10" t="inlineStr">
        <is>
          <t>Olympic Rickshaw Barbell (250mm Loadable Sleeves)</t>
        </is>
      </c>
      <c r="C206" s="10" t="inlineStr">
        <is>
          <t>Weightlifting</t>
        </is>
      </c>
      <c r="D206" s="11" t="inlineStr">
        <is>
          <t>Yes</t>
        </is>
      </c>
      <c r="E206" s="11" t="inlineStr"/>
      <c r="F206" s="11" t="inlineStr">
        <is>
          <t>Yes</t>
        </is>
      </c>
      <c r="G206" s="12" t="n">
        <v>23</v>
      </c>
      <c r="H206" s="12" t="n">
        <v>143.5</v>
      </c>
      <c r="I206" s="12" t="n">
        <v>58</v>
      </c>
      <c r="J206" s="12" t="n">
        <v>16</v>
      </c>
      <c r="K206" s="10">
        <f>TRIM(IF(F206="No","Features ","")&amp;IF(G206="","Weight ","")&amp;IF(OR(H206="",I206="",J206="")," Dimensions",""))</f>
        <v/>
      </c>
      <c r="L206" s="11">
        <f>IF(OR(G206="",H206="",I206="",J206=""),"No data",IF(AND(G206&lt;=22,MAX(H206:J206)&lt;=105,(H206*I206*J206)/1000000&lt;=0.25),"Yes","Too big"))</f>
        <v/>
      </c>
      <c r="M206" s="10" t="inlineStr">
        <is>
          <t>/product/olympic-rickshaw-barbell-250mm-loadable-sleeves</t>
        </is>
      </c>
    </row>
    <row r="207">
      <c r="A207" s="10" t="inlineStr">
        <is>
          <t>MWBBOL09</t>
        </is>
      </c>
      <c r="B207" s="10" t="inlineStr">
        <is>
          <t>Olympic Swiss Barbell - 20kg</t>
        </is>
      </c>
      <c r="C207" s="10" t="inlineStr">
        <is>
          <t>Weightlifting</t>
        </is>
      </c>
      <c r="D207" s="11" t="inlineStr">
        <is>
          <t>Yes</t>
        </is>
      </c>
      <c r="E207" s="11" t="inlineStr"/>
      <c r="F207" s="11" t="inlineStr">
        <is>
          <t>Yes</t>
        </is>
      </c>
      <c r="G207" s="12" t="n">
        <v>27</v>
      </c>
      <c r="H207" s="12" t="n">
        <v>214</v>
      </c>
      <c r="I207" s="12" t="n">
        <v>8.5</v>
      </c>
      <c r="J207" s="12" t="n">
        <v>8.5</v>
      </c>
      <c r="K207" s="10">
        <f>TRIM(IF(F207="No","Features ","")&amp;IF(G207="","Weight ","")&amp;IF(OR(H207="",I207="",J207="")," Dimensions",""))</f>
        <v/>
      </c>
      <c r="L207" s="11">
        <f>IF(OR(G207="",H207="",I207="",J207=""),"No data",IF(AND(G207&lt;=22,MAX(H207:J207)&lt;=105,(H207*I207*J207)/1000000&lt;=0.25),"Yes","Too big"))</f>
        <v/>
      </c>
      <c r="M207" s="10" t="inlineStr">
        <is>
          <t>/product/olympic-swiss-barbell-20kg</t>
        </is>
      </c>
    </row>
    <row r="208">
      <c r="A208" s="10" t="inlineStr">
        <is>
          <t>MWWAACC01</t>
        </is>
      </c>
      <c r="B208" s="10" t="inlineStr">
        <is>
          <t>Weightlifting Belt</t>
        </is>
      </c>
      <c r="C208" s="10" t="inlineStr">
        <is>
          <t>Weightlifting</t>
        </is>
      </c>
      <c r="D208" s="11" t="inlineStr">
        <is>
          <t>Yes</t>
        </is>
      </c>
      <c r="E208" s="11" t="inlineStr"/>
      <c r="F208" s="11" t="inlineStr">
        <is>
          <t>Yes</t>
        </is>
      </c>
      <c r="G208" s="12" t="n"/>
      <c r="H208" s="12" t="n"/>
      <c r="I208" s="12" t="n"/>
      <c r="J208" s="12" t="n"/>
      <c r="K208" s="10">
        <f>TRIM(IF(F208="No","Features ","")&amp;IF(G208="","Weight ","")&amp;IF(OR(H208="",I208="",J208="")," Dimensions",""))</f>
        <v/>
      </c>
      <c r="L208" s="11">
        <f>IF(OR(G208="",H208="",I208="",J208=""),"No data",IF(AND(G208&lt;=22,MAX(H208:J208)&lt;=105,(H208*I208*J208)/1000000&lt;=0.25),"Yes","Too big"))</f>
        <v/>
      </c>
      <c r="M208" s="10" t="inlineStr">
        <is>
          <t>/product/weightlifting-belt-2</t>
        </is>
      </c>
    </row>
    <row r="209">
      <c r="A209" s="10" t="inlineStr">
        <is>
          <t>MWWAACC02</t>
        </is>
      </c>
      <c r="B209" s="10" t="inlineStr">
        <is>
          <t>Dip &amp; Pull Up Belt</t>
        </is>
      </c>
      <c r="C209" s="10" t="inlineStr">
        <is>
          <t>Weightlifting</t>
        </is>
      </c>
      <c r="D209" s="11" t="inlineStr">
        <is>
          <t>Yes</t>
        </is>
      </c>
      <c r="E209" s="11" t="inlineStr"/>
      <c r="F209" s="11" t="inlineStr">
        <is>
          <t>Yes</t>
        </is>
      </c>
      <c r="G209" s="12" t="n">
        <v>1</v>
      </c>
      <c r="H209" s="12" t="n">
        <v>84</v>
      </c>
      <c r="I209" s="12" t="n">
        <v>19.5</v>
      </c>
      <c r="J209" s="12" t="n">
        <v>6.5</v>
      </c>
      <c r="K209" s="10">
        <f>TRIM(IF(F209="No","Features ","")&amp;IF(G209="","Weight ","")&amp;IF(OR(H209="",I209="",J209="")," Dimensions",""))</f>
        <v/>
      </c>
      <c r="L209" s="11">
        <f>IF(OR(G209="",H209="",I209="",J209=""),"No data",IF(AND(G209&lt;=22,MAX(H209:J209)&lt;=105,(H209*I209*J209)/1000000&lt;=0.25),"Yes","Too big"))</f>
        <v/>
      </c>
      <c r="M209" s="10" t="inlineStr">
        <is>
          <t>/product/dip-pull-up-belt-2</t>
        </is>
      </c>
    </row>
    <row r="210">
      <c r="A210" s="10" t="inlineStr">
        <is>
          <t>MWWLACC01</t>
        </is>
      </c>
      <c r="B210" s="10" t="inlineStr">
        <is>
          <t>Barbell Squat Pad</t>
        </is>
      </c>
      <c r="C210" s="10" t="inlineStr">
        <is>
          <t>Weightlifting</t>
        </is>
      </c>
      <c r="D210" s="11" t="inlineStr">
        <is>
          <t>Yes</t>
        </is>
      </c>
      <c r="E210" s="11" t="inlineStr"/>
      <c r="F210" s="11" t="inlineStr">
        <is>
          <t>Yes</t>
        </is>
      </c>
      <c r="G210" s="12" t="n">
        <v>1</v>
      </c>
      <c r="H210" s="12" t="n">
        <v>4.5</v>
      </c>
      <c r="I210" s="12" t="n">
        <v>1.1</v>
      </c>
      <c r="J210" s="12" t="n">
        <v>1.1</v>
      </c>
      <c r="K210" s="10">
        <f>TRIM(IF(F210="No","Features ","")&amp;IF(G210="","Weight ","")&amp;IF(OR(H210="",I210="",J210="")," Dimensions",""))</f>
        <v/>
      </c>
      <c r="L210" s="11">
        <f>IF(OR(G210="",H210="",I210="",J210=""),"No data",IF(AND(G210&lt;=22,MAX(H210:J210)&lt;=105,(H210*I210*J210)/1000000&lt;=0.25),"Yes","Too big"))</f>
        <v/>
      </c>
      <c r="M210" s="10" t="inlineStr">
        <is>
          <t>/product/barbell-squat-pad-3</t>
        </is>
      </c>
    </row>
    <row r="211">
      <c r="A211" s="10" t="inlineStr">
        <is>
          <t>MWWLACC02</t>
        </is>
      </c>
      <c r="B211" s="10" t="inlineStr">
        <is>
          <t>Olympic Bar Easy Lock Collars (Pair)</t>
        </is>
      </c>
      <c r="C211" s="10" t="inlineStr">
        <is>
          <t>Weightlifting</t>
        </is>
      </c>
      <c r="D211" s="11" t="inlineStr">
        <is>
          <t>Yes</t>
        </is>
      </c>
      <c r="E211" s="11" t="inlineStr"/>
      <c r="F211" s="11" t="inlineStr">
        <is>
          <t>No</t>
        </is>
      </c>
      <c r="G211" s="12" t="n">
        <v>1</v>
      </c>
      <c r="H211" s="12" t="n">
        <v>5.3</v>
      </c>
      <c r="I211" s="12" t="n">
        <v>5.3</v>
      </c>
      <c r="J211" s="12" t="n">
        <v>6.5</v>
      </c>
      <c r="K211" s="10">
        <f>TRIM(IF(F211="No","Features ","")&amp;IF(G211="","Weight ","")&amp;IF(OR(H211="",I211="",J211="")," Dimensions",""))</f>
        <v/>
      </c>
      <c r="L211" s="11">
        <f>IF(OR(G211="",H211="",I211="",J211=""),"No data",IF(AND(G211&lt;=22,MAX(H211:J211)&lt;=105,(H211*I211*J211)/1000000&lt;=0.25),"Yes","Too big"))</f>
        <v/>
      </c>
      <c r="M211" s="10" t="inlineStr">
        <is>
          <t>/product/olympic-bar-easy-lock-collars-pair-3</t>
        </is>
      </c>
    </row>
    <row r="212">
      <c r="A212" s="10" t="inlineStr">
        <is>
          <t>MWWLATT01</t>
        </is>
      </c>
      <c r="B212" s="10" t="inlineStr">
        <is>
          <t>Ankle Strap Cable Attachment (Pair)</t>
        </is>
      </c>
      <c r="C212" s="10" t="inlineStr">
        <is>
          <t>Weightlifting</t>
        </is>
      </c>
      <c r="D212" s="11" t="inlineStr">
        <is>
          <t>Yes</t>
        </is>
      </c>
      <c r="E212" s="11" t="inlineStr"/>
      <c r="F212" s="11" t="inlineStr">
        <is>
          <t>Yes</t>
        </is>
      </c>
      <c r="G212" s="12" t="n">
        <v>2</v>
      </c>
      <c r="H212" s="12" t="n">
        <v>25</v>
      </c>
      <c r="I212" s="12" t="n">
        <v>1</v>
      </c>
      <c r="J212" s="12" t="n">
        <v>8.5</v>
      </c>
      <c r="K212" s="10">
        <f>TRIM(IF(F212="No","Features ","")&amp;IF(G212="","Weight ","")&amp;IF(OR(H212="",I212="",J212="")," Dimensions",""))</f>
        <v/>
      </c>
      <c r="L212" s="11">
        <f>IF(OR(G212="",H212="",I212="",J212=""),"No data",IF(AND(G212&lt;=22,MAX(H212:J212)&lt;=105,(H212*I212*J212)/1000000&lt;=0.25),"Yes","Too big"))</f>
        <v/>
      </c>
      <c r="M212" s="10" t="inlineStr">
        <is>
          <t>/product/ankle-strap-cable-attachment-pair</t>
        </is>
      </c>
    </row>
    <row r="213">
      <c r="A213" s="10" t="inlineStr">
        <is>
          <t>MWWLCH01</t>
        </is>
      </c>
      <c r="B213" s="10" t="inlineStr">
        <is>
          <t>Weightlifting Chalk Box</t>
        </is>
      </c>
      <c r="C213" s="10" t="inlineStr">
        <is>
          <t>Weightlifting</t>
        </is>
      </c>
      <c r="D213" s="11" t="inlineStr">
        <is>
          <t>Yes</t>
        </is>
      </c>
      <c r="E213" s="11" t="inlineStr"/>
      <c r="F213" s="11" t="inlineStr">
        <is>
          <t>Yes</t>
        </is>
      </c>
      <c r="G213" s="12" t="n">
        <v>1</v>
      </c>
      <c r="H213" s="12" t="n">
        <v>19</v>
      </c>
      <c r="I213" s="12" t="n">
        <v>19</v>
      </c>
      <c r="J213" s="12" t="n">
        <v>9</v>
      </c>
      <c r="K213" s="10">
        <f>TRIM(IF(F213="No","Features ","")&amp;IF(G213="","Weight ","")&amp;IF(OR(H213="",I213="",J213="")," Dimensions",""))</f>
        <v/>
      </c>
      <c r="L213" s="11">
        <f>IF(OR(G213="",H213="",I213="",J213=""),"No data",IF(AND(G213&lt;=22,MAX(H213:J213)&lt;=105,(H213*I213*J213)/1000000&lt;=0.25),"Yes","Too big"))</f>
        <v/>
      </c>
      <c r="M213" s="10" t="inlineStr">
        <is>
          <t>/product/weightlifting-chalk-box-2</t>
        </is>
      </c>
    </row>
    <row r="214">
      <c r="A214" s="10" t="inlineStr">
        <is>
          <t>MWWLCH02</t>
        </is>
      </c>
      <c r="B214" s="10" t="inlineStr">
        <is>
          <t>Chalk Bowl</t>
        </is>
      </c>
      <c r="C214" s="10" t="inlineStr">
        <is>
          <t>Weightlifting</t>
        </is>
      </c>
      <c r="D214" s="11" t="inlineStr">
        <is>
          <t>Yes</t>
        </is>
      </c>
      <c r="E214" s="11" t="inlineStr"/>
      <c r="F214" s="11" t="inlineStr">
        <is>
          <t>Yes</t>
        </is>
      </c>
      <c r="G214" s="12" t="n">
        <v>8</v>
      </c>
      <c r="H214" s="12" t="n">
        <v>55</v>
      </c>
      <c r="I214" s="12" t="n">
        <v>46</v>
      </c>
      <c r="J214" s="12" t="n">
        <v>32</v>
      </c>
      <c r="K214" s="10">
        <f>TRIM(IF(F214="No","Features ","")&amp;IF(G214="","Weight ","")&amp;IF(OR(H214="",I214="",J214="")," Dimensions",""))</f>
        <v/>
      </c>
      <c r="L214" s="11">
        <f>IF(OR(G214="",H214="",I214="",J214=""),"No data",IF(AND(G214&lt;=22,MAX(H214:J214)&lt;=105,(H214*I214*J214)/1000000&lt;=0.25),"Yes","Too big"))</f>
        <v/>
      </c>
      <c r="M214" s="10" t="inlineStr">
        <is>
          <t>/product/chalk-bowl-2</t>
        </is>
      </c>
    </row>
    <row r="215">
      <c r="A215" s="10" t="inlineStr">
        <is>
          <t>MWWLMA01</t>
        </is>
      </c>
      <c r="B215" s="10" t="inlineStr">
        <is>
          <t>Drop Pads (Pair)</t>
        </is>
      </c>
      <c r="C215" s="10" t="inlineStr">
        <is>
          <t>Weightlifting</t>
        </is>
      </c>
      <c r="D215" s="11" t="inlineStr">
        <is>
          <t>Yes</t>
        </is>
      </c>
      <c r="E215" s="11" t="inlineStr"/>
      <c r="F215" s="11" t="inlineStr">
        <is>
          <t>No</t>
        </is>
      </c>
      <c r="G215" s="12" t="n">
        <v>24</v>
      </c>
      <c r="H215" s="12" t="n">
        <v>76</v>
      </c>
      <c r="I215" s="12" t="n">
        <v>61</v>
      </c>
      <c r="J215" s="12" t="n">
        <v>16</v>
      </c>
      <c r="K215" s="10">
        <f>TRIM(IF(F215="No","Features ","")&amp;IF(G215="","Weight ","")&amp;IF(OR(H215="",I215="",J215="")," Dimensions",""))</f>
        <v/>
      </c>
      <c r="L215" s="11">
        <f>IF(OR(G215="",H215="",I215="",J215=""),"No data",IF(AND(G215&lt;=22,MAX(H215:J215)&lt;=105,(H215*I215*J215)/1000000&lt;=0.25),"Yes","Too big"))</f>
        <v/>
      </c>
      <c r="M215" s="10" t="inlineStr">
        <is>
          <t>/product/drop-pads-pair</t>
        </is>
      </c>
    </row>
    <row r="216">
      <c r="A216" s="10" t="inlineStr">
        <is>
          <t>MWWPCB-GROUP</t>
        </is>
      </c>
      <c r="B216" s="10" t="inlineStr">
        <is>
          <t>Coloured Bumper Plates</t>
        </is>
      </c>
      <c r="C216" s="10" t="inlineStr">
        <is>
          <t>Weightlifting</t>
        </is>
      </c>
      <c r="D216" s="11" t="inlineStr">
        <is>
          <t>Yes</t>
        </is>
      </c>
      <c r="E216" s="11" t="inlineStr"/>
      <c r="F216" s="11" t="inlineStr">
        <is>
          <t>Yes</t>
        </is>
      </c>
      <c r="G216" s="12" t="n">
        <v>11</v>
      </c>
      <c r="H216" s="12" t="n">
        <v>46</v>
      </c>
      <c r="I216" s="12" t="n">
        <v>46</v>
      </c>
      <c r="J216" s="12" t="n">
        <v>4.5</v>
      </c>
      <c r="K216" s="10">
        <f>TRIM(IF(F216="No","Features ","")&amp;IF(G216="","Weight ","")&amp;IF(OR(H216="",I216="",J216="")," Dimensions",""))</f>
        <v/>
      </c>
      <c r="L216" s="11">
        <f>IF(OR(G216="",H216="",I216="",J216=""),"No data",IF(AND(G216&lt;=22,MAX(H216:J216)&lt;=105,(H216*I216*J216)/1000000&lt;=0.25),"Yes","Too big"))</f>
        <v/>
      </c>
      <c r="M216" s="10" t="inlineStr">
        <is>
          <t>/product/coloured-bumper-plates</t>
        </is>
      </c>
    </row>
    <row r="217">
      <c r="A217" s="10" t="inlineStr">
        <is>
          <t>MWWPCNB-GROUP</t>
        </is>
      </c>
      <c r="B217" s="10" t="inlineStr">
        <is>
          <t>Competition Bumper Plates</t>
        </is>
      </c>
      <c r="C217" s="10" t="inlineStr">
        <is>
          <t>Weightlifting</t>
        </is>
      </c>
      <c r="D217" s="11" t="inlineStr">
        <is>
          <t>Yes</t>
        </is>
      </c>
      <c r="E217" s="11" t="inlineStr"/>
      <c r="F217" s="11" t="inlineStr">
        <is>
          <t>Yes</t>
        </is>
      </c>
      <c r="G217" s="12" t="n">
        <v>11</v>
      </c>
      <c r="H217" s="12" t="n">
        <v>46</v>
      </c>
      <c r="I217" s="12" t="n">
        <v>46</v>
      </c>
      <c r="J217" s="12" t="n">
        <v>4.5</v>
      </c>
      <c r="K217" s="10">
        <f>TRIM(IF(F217="No","Features ","")&amp;IF(G217="","Weight ","")&amp;IF(OR(H217="",I217="",J217="")," Dimensions",""))</f>
        <v/>
      </c>
      <c r="L217" s="11">
        <f>IF(OR(G217="",H217="",I217="",J217=""),"No data",IF(AND(G217&lt;=22,MAX(H217:J217)&lt;=105,(H217*I217*J217)/1000000&lt;=0.25),"Yes","Too big"))</f>
        <v/>
      </c>
      <c r="M217" s="10" t="inlineStr">
        <is>
          <t>/product/competition-bumper-plates-3</t>
        </is>
      </c>
    </row>
    <row r="218">
      <c r="A218" s="10" t="inlineStr">
        <is>
          <t>MWWPCP-GROUP</t>
        </is>
      </c>
      <c r="B218" s="10" t="inlineStr">
        <is>
          <t>Change Plates</t>
        </is>
      </c>
      <c r="C218" s="10" t="inlineStr">
        <is>
          <t>Weightlifting</t>
        </is>
      </c>
      <c r="D218" s="11" t="inlineStr">
        <is>
          <t>Yes</t>
        </is>
      </c>
      <c r="E218" s="11" t="inlineStr"/>
      <c r="F218" s="11" t="inlineStr">
        <is>
          <t>Yes</t>
        </is>
      </c>
      <c r="G218" s="12" t="n">
        <v>2</v>
      </c>
      <c r="H218" s="12" t="n">
        <v>17.5</v>
      </c>
      <c r="I218" s="12" t="n">
        <v>17.5</v>
      </c>
      <c r="J218" s="12" t="n">
        <v>13</v>
      </c>
      <c r="K218" s="10">
        <f>TRIM(IF(F218="No","Features ","")&amp;IF(G218="","Weight ","")&amp;IF(OR(H218="",I218="",J218="")," Dimensions",""))</f>
        <v/>
      </c>
      <c r="L218" s="11">
        <f>IF(OR(G218="",H218="",I218="",J218=""),"No data",IF(AND(G218&lt;=22,MAX(H218:J218)&lt;=105,(H218*I218*J218)/1000000&lt;=0.25),"Yes","Too big"))</f>
        <v/>
      </c>
      <c r="M218" s="10" t="inlineStr">
        <is>
          <t>/product/change-plates</t>
        </is>
      </c>
    </row>
    <row r="219">
      <c r="A219" s="10" t="inlineStr">
        <is>
          <t>MWWPOPR-GROUP</t>
        </is>
      </c>
      <c r="B219" s="10" t="inlineStr">
        <is>
          <t>Olympic Premium Rubber Weight Plates</t>
        </is>
      </c>
      <c r="C219" s="10" t="inlineStr">
        <is>
          <t>Weightlifting</t>
        </is>
      </c>
      <c r="D219" s="11" t="inlineStr">
        <is>
          <t>Yes</t>
        </is>
      </c>
      <c r="E219" s="11" t="inlineStr"/>
      <c r="F219" s="11" t="inlineStr">
        <is>
          <t>Yes</t>
        </is>
      </c>
      <c r="G219" s="12" t="n">
        <v>2</v>
      </c>
      <c r="H219" s="12" t="n">
        <v>17</v>
      </c>
      <c r="I219" s="12" t="n">
        <v>17</v>
      </c>
      <c r="J219" s="12" t="n">
        <v>3.2</v>
      </c>
      <c r="K219" s="10">
        <f>TRIM(IF(F219="No","Features ","")&amp;IF(G219="","Weight ","")&amp;IF(OR(H219="",I219="",J219="")," Dimensions",""))</f>
        <v/>
      </c>
      <c r="L219" s="11">
        <f>IF(OR(G219="",H219="",I219="",J219=""),"No data",IF(AND(G219&lt;=22,MAX(H219:J219)&lt;=105,(H219*I219*J219)/1000000&lt;=0.25),"Yes","Too big"))</f>
        <v/>
      </c>
      <c r="M219" s="10" t="inlineStr">
        <is>
          <t>/product/olympic-premium-rubber-weight-plates-2</t>
        </is>
      </c>
    </row>
    <row r="220">
      <c r="A220" s="10" t="inlineStr">
        <is>
          <t>MWWPOU</t>
        </is>
      </c>
      <c r="B220" s="10" t="inlineStr">
        <is>
          <t>Olympic Urethane Weight Plates</t>
        </is>
      </c>
      <c r="C220" s="10" t="inlineStr">
        <is>
          <t>Weightlifting</t>
        </is>
      </c>
      <c r="D220" s="11" t="inlineStr">
        <is>
          <t>Yes</t>
        </is>
      </c>
      <c r="E220" s="11" t="inlineStr"/>
      <c r="F220" s="11" t="inlineStr">
        <is>
          <t>Yes</t>
        </is>
      </c>
      <c r="G220" s="12" t="n">
        <v>2</v>
      </c>
      <c r="H220" s="12" t="n">
        <v>17</v>
      </c>
      <c r="I220" s="12" t="n">
        <v>17</v>
      </c>
      <c r="J220" s="12" t="n">
        <v>3.2</v>
      </c>
      <c r="K220" s="10">
        <f>TRIM(IF(F220="No","Features ","")&amp;IF(G220="","Weight ","")&amp;IF(OR(H220="",I220="",J220="")," Dimensions",""))</f>
        <v/>
      </c>
      <c r="L220" s="11">
        <f>IF(OR(G220="",H220="",I220="",J220=""),"No data",IF(AND(G220&lt;=22,MAX(H220:J220)&lt;=105,(H220*I220*J220)/1000000&lt;=0.25),"Yes","Too big"))</f>
        <v/>
      </c>
      <c r="M220" s="10" t="inlineStr">
        <is>
          <t>/product/olympic-urethane-weight-plates</t>
        </is>
      </c>
    </row>
    <row r="221">
      <c r="A221" s="10" t="inlineStr">
        <is>
          <t>MWWPOU-GROUP</t>
        </is>
      </c>
      <c r="B221" s="10" t="inlineStr">
        <is>
          <t>Olympic Urethane Weight Plates</t>
        </is>
      </c>
      <c r="C221" s="10" t="inlineStr">
        <is>
          <t>Weightlifting</t>
        </is>
      </c>
      <c r="D221" s="11" t="inlineStr">
        <is>
          <t>Yes</t>
        </is>
      </c>
      <c r="E221" s="11" t="inlineStr"/>
      <c r="F221" s="11" t="inlineStr">
        <is>
          <t>Yes</t>
        </is>
      </c>
      <c r="G221" s="12" t="n">
        <v>2</v>
      </c>
      <c r="H221" s="12" t="n">
        <v>17</v>
      </c>
      <c r="I221" s="12" t="n">
        <v>17</v>
      </c>
      <c r="J221" s="12" t="n">
        <v>3.2</v>
      </c>
      <c r="K221" s="10">
        <f>TRIM(IF(F221="No","Features ","")&amp;IF(G221="","Weight ","")&amp;IF(OR(H221="",I221="",J221="")," Dimensions",""))</f>
        <v/>
      </c>
      <c r="L221" s="11">
        <f>IF(OR(G221="",H221="",I221="",J221=""),"No data",IF(AND(G221&lt;=22,MAX(H221:J221)&lt;=105,(H221*I221*J221)/1000000&lt;=0.25),"Yes","Too big"))</f>
        <v/>
      </c>
      <c r="M221" s="10" t="inlineStr">
        <is>
          <t>/product/olympic-urethane-weight-plates-3</t>
        </is>
      </c>
    </row>
    <row r="222">
      <c r="A222" s="14" t="inlineStr">
        <is>
          <t>RERK153001</t>
        </is>
      </c>
      <c r="B222" s="14" t="inlineStr">
        <is>
          <t>Retail Rack</t>
        </is>
      </c>
      <c r="C222" s="14" t="inlineStr">
        <is>
          <t>Apparel</t>
        </is>
      </c>
      <c r="D222" s="15" t="inlineStr">
        <is>
          <t>No</t>
        </is>
      </c>
      <c r="E222" s="15" t="inlineStr"/>
      <c r="F222" s="15" t="inlineStr">
        <is>
          <t>Yes</t>
        </is>
      </c>
      <c r="G222" s="16" t="n">
        <v>16</v>
      </c>
      <c r="H222" s="16" t="n">
        <v>152</v>
      </c>
      <c r="I222" s="16" t="n">
        <v>31</v>
      </c>
      <c r="J222" s="16" t="n">
        <v>31</v>
      </c>
      <c r="K222" s="14">
        <f>TRIM(IF(F222="No","Features ","")&amp;IF(G222="","Weight ","")&amp;IF(OR(H222="",I222="",J222="")," Dimensions",""))</f>
        <v/>
      </c>
      <c r="L222" s="15">
        <f>IF(OR(G222="",H222="",I222="",J222=""),"No data",IF(AND(G222&lt;=22,MAX(H222:J222)&lt;=105,(H222*I222*J222)/1000000&lt;=0.25),"Yes","Too big"))</f>
        <v/>
      </c>
      <c r="M222" s="14" t="inlineStr">
        <is>
          <t>/product/retail-rack</t>
        </is>
      </c>
    </row>
    <row r="223">
      <c r="A223" s="14" t="inlineStr">
        <is>
          <t>RBCTACC01</t>
        </is>
      </c>
      <c r="B223" s="14" t="inlineStr">
        <is>
          <t>Utility Roller</t>
        </is>
      </c>
      <c r="C223" s="14" t="inlineStr">
        <is>
          <t>Body Weight</t>
        </is>
      </c>
      <c r="D223" s="15" t="inlineStr">
        <is>
          <t>No</t>
        </is>
      </c>
      <c r="E223" s="15" t="inlineStr"/>
      <c r="F223" s="15" t="inlineStr">
        <is>
          <t>Yes</t>
        </is>
      </c>
      <c r="G223" s="16" t="n">
        <v>10</v>
      </c>
      <c r="H223" s="16" t="n">
        <v>68</v>
      </c>
      <c r="I223" s="16" t="n">
        <v>34.5</v>
      </c>
      <c r="J223" s="16" t="n">
        <v>8.5</v>
      </c>
      <c r="K223" s="14">
        <f>TRIM(IF(F223="No","Features ","")&amp;IF(G223="","Weight ","")&amp;IF(OR(H223="",I223="",J223="")," Dimensions",""))</f>
        <v/>
      </c>
      <c r="L223" s="15">
        <f>IF(OR(G223="",H223="",I223="",J223=""),"No data",IF(AND(G223&lt;=22,MAX(H223:J223)&lt;=105,(H223*I223*J223)/1000000&lt;=0.25),"Yes","Too big"))</f>
        <v/>
      </c>
      <c r="M223" s="14" t="inlineStr">
        <is>
          <t>/product/utility-roller-revl</t>
        </is>
      </c>
    </row>
    <row r="224">
      <c r="A224" s="14" t="inlineStr">
        <is>
          <t>RBCTMA01</t>
        </is>
      </c>
      <c r="B224" s="14" t="inlineStr">
        <is>
          <t>Abdominal Mat</t>
        </is>
      </c>
      <c r="C224" s="14" t="inlineStr">
        <is>
          <t>Body Weight</t>
        </is>
      </c>
      <c r="D224" s="15" t="inlineStr">
        <is>
          <t>No</t>
        </is>
      </c>
      <c r="E224" s="15" t="inlineStr"/>
      <c r="F224" s="15" t="inlineStr">
        <is>
          <t>Yes</t>
        </is>
      </c>
      <c r="G224" s="16" t="n">
        <v>1</v>
      </c>
      <c r="H224" s="16" t="n">
        <v>38</v>
      </c>
      <c r="I224" s="16" t="n">
        <v>30</v>
      </c>
      <c r="J224" s="16" t="n"/>
      <c r="K224" s="14">
        <f>TRIM(IF(F224="No","Features ","")&amp;IF(G224="","Weight ","")&amp;IF(OR(H224="",I224="",J224="")," Dimensions",""))</f>
        <v/>
      </c>
      <c r="L224" s="15">
        <f>IF(OR(G224="",H224="",I224="",J224=""),"No data",IF(AND(G224&lt;=22,MAX(H224:J224)&lt;=105,(H224*I224*J224)/1000000&lt;=0.25),"Yes","Too big"))</f>
        <v/>
      </c>
      <c r="M224" s="14" t="inlineStr">
        <is>
          <t>/product/abdominal-mat-2</t>
        </is>
      </c>
    </row>
    <row r="225">
      <c r="A225" s="14" t="inlineStr">
        <is>
          <t>RBGYRI01</t>
        </is>
      </c>
      <c r="B225" s="14" t="inlineStr">
        <is>
          <t>Gymnastic Rings (Wooden)</t>
        </is>
      </c>
      <c r="C225" s="14" t="inlineStr">
        <is>
          <t>Body Weight</t>
        </is>
      </c>
      <c r="D225" s="15" t="inlineStr">
        <is>
          <t>No</t>
        </is>
      </c>
      <c r="E225" s="15" t="inlineStr"/>
      <c r="F225" s="15" t="inlineStr">
        <is>
          <t>Yes</t>
        </is>
      </c>
      <c r="G225" s="16" t="n">
        <v>2</v>
      </c>
      <c r="H225" s="16" t="n">
        <v>26</v>
      </c>
      <c r="I225" s="16" t="n">
        <v>26</v>
      </c>
      <c r="J225" s="16" t="n"/>
      <c r="K225" s="14">
        <f>TRIM(IF(F225="No","Features ","")&amp;IF(G225="","Weight ","")&amp;IF(OR(H225="",I225="",J225="")," Dimensions",""))</f>
        <v/>
      </c>
      <c r="L225" s="15">
        <f>IF(OR(G225="",H225="",I225="",J225=""),"No data",IF(AND(G225&lt;=22,MAX(H225:J225)&lt;=105,(H225*I225*J225)/1000000&lt;=0.25),"Yes","Too big"))</f>
        <v/>
      </c>
      <c r="M225" s="14" t="inlineStr">
        <is>
          <t>/product/gymnastic-rings-wooden</t>
        </is>
      </c>
    </row>
    <row r="226">
      <c r="A226" s="14" t="inlineStr">
        <is>
          <t>RBPB3I101</t>
        </is>
      </c>
      <c r="B226" s="14" t="inlineStr">
        <is>
          <t>3-In-1 Foam Plyometric Box - 34kg</t>
        </is>
      </c>
      <c r="C226" s="14" t="inlineStr">
        <is>
          <t>Body Weight</t>
        </is>
      </c>
      <c r="D226" s="15" t="inlineStr">
        <is>
          <t>No</t>
        </is>
      </c>
      <c r="E226" s="15" t="inlineStr"/>
      <c r="F226" s="15" t="inlineStr">
        <is>
          <t>Yes</t>
        </is>
      </c>
      <c r="G226" s="16" t="n">
        <v>35</v>
      </c>
      <c r="H226" s="16" t="n">
        <v>77</v>
      </c>
      <c r="I226" s="16" t="n">
        <v>52</v>
      </c>
      <c r="J226" s="16" t="n">
        <v>62</v>
      </c>
      <c r="K226" s="14">
        <f>TRIM(IF(F226="No","Features ","")&amp;IF(G226="","Weight ","")&amp;IF(OR(H226="",I226="",J226="")," Dimensions",""))</f>
        <v/>
      </c>
      <c r="L226" s="15">
        <f>IF(OR(G226="",H226="",I226="",J226=""),"No data",IF(AND(G226&lt;=22,MAX(H226:J226)&lt;=105,(H226*I226*J226)/1000000&lt;=0.25),"Yes","Too big"))</f>
        <v/>
      </c>
      <c r="M226" s="14" t="inlineStr">
        <is>
          <t>/product/3-in-1-foam-plyometric-box-34kg-2</t>
        </is>
      </c>
    </row>
    <row r="227">
      <c r="A227" s="14" t="inlineStr">
        <is>
          <t>RBRMRL02</t>
        </is>
      </c>
      <c r="B227" s="14" t="inlineStr">
        <is>
          <t>Foam Roller - 33cm (TPT)</t>
        </is>
      </c>
      <c r="C227" s="14" t="inlineStr">
        <is>
          <t>Body Weight</t>
        </is>
      </c>
      <c r="D227" s="15" t="inlineStr">
        <is>
          <t>No</t>
        </is>
      </c>
      <c r="E227" s="15" t="inlineStr"/>
      <c r="F227" s="15" t="inlineStr">
        <is>
          <t>Yes</t>
        </is>
      </c>
      <c r="G227" s="16" t="n">
        <v>1</v>
      </c>
      <c r="H227" s="16" t="n">
        <v>33</v>
      </c>
      <c r="I227" s="16" t="n">
        <v>14</v>
      </c>
      <c r="J227" s="16" t="n">
        <v>14</v>
      </c>
      <c r="K227" s="14">
        <f>TRIM(IF(F227="No","Features ","")&amp;IF(G227="","Weight ","")&amp;IF(OR(H227="",I227="",J227="")," Dimensions",""))</f>
        <v/>
      </c>
      <c r="L227" s="15">
        <f>IF(OR(G227="",H227="",I227="",J227=""),"No data",IF(AND(G227&lt;=22,MAX(H227:J227)&lt;=105,(H227*I227*J227)/1000000&lt;=0.25),"Yes","Too big"))</f>
        <v/>
      </c>
      <c r="M227" s="14" t="inlineStr">
        <is>
          <t>/product/foam-roller-33cm-tpt-2</t>
        </is>
      </c>
    </row>
    <row r="228">
      <c r="A228" s="14" t="inlineStr">
        <is>
          <t>RBRPPO-GROUP</t>
        </is>
      </c>
      <c r="B228" s="14" t="inlineStr">
        <is>
          <t>Power Bands</t>
        </is>
      </c>
      <c r="C228" s="14" t="inlineStr">
        <is>
          <t>Body Weight</t>
        </is>
      </c>
      <c r="D228" s="15" t="inlineStr">
        <is>
          <t>No</t>
        </is>
      </c>
      <c r="E228" s="15" t="inlineStr"/>
      <c r="F228" s="15" t="inlineStr">
        <is>
          <t>No</t>
        </is>
      </c>
      <c r="G228" s="16" t="n"/>
      <c r="H228" s="16" t="n"/>
      <c r="I228" s="16" t="n"/>
      <c r="J228" s="16" t="n"/>
      <c r="K228" s="14">
        <f>TRIM(IF(F228="No","Features ","")&amp;IF(G228="","Weight ","")&amp;IF(OR(H228="",I228="",J228="")," Dimensions",""))</f>
        <v/>
      </c>
      <c r="L228" s="15">
        <f>IF(OR(G228="",H228="",I228="",J228=""),"No data",IF(AND(G228&lt;=22,MAX(H228:J228)&lt;=105,(H228*I228*J228)/1000000&lt;=0.25),"Yes","Too big"))</f>
        <v/>
      </c>
      <c r="M228" s="14" t="inlineStr">
        <is>
          <t>/product/power-bands</t>
        </is>
      </c>
    </row>
    <row r="229">
      <c r="A229" s="14" t="inlineStr">
        <is>
          <t>RBRPPOM-GROUP</t>
        </is>
      </c>
      <c r="B229" s="14" t="inlineStr">
        <is>
          <t>Micro Bands</t>
        </is>
      </c>
      <c r="C229" s="14" t="inlineStr">
        <is>
          <t>Body Weight</t>
        </is>
      </c>
      <c r="D229" s="15" t="inlineStr">
        <is>
          <t>No</t>
        </is>
      </c>
      <c r="E229" s="15" t="inlineStr"/>
      <c r="F229" s="15" t="inlineStr">
        <is>
          <t>No</t>
        </is>
      </c>
      <c r="G229" s="16" t="n"/>
      <c r="H229" s="16" t="n"/>
      <c r="I229" s="16" t="n"/>
      <c r="J229" s="16" t="n"/>
      <c r="K229" s="14">
        <f>TRIM(IF(F229="No","Features ","")&amp;IF(G229="","Weight ","")&amp;IF(OR(H229="",I229="",J229="")," Dimensions",""))</f>
        <v/>
      </c>
      <c r="L229" s="15">
        <f>IF(OR(G229="",H229="",I229="",J229=""),"No data",IF(AND(G229&lt;=22,MAX(H229:J229)&lt;=105,(H229*I229*J229)/1000000&lt;=0.25),"Yes","Too big"))</f>
        <v/>
      </c>
      <c r="M229" s="14" t="inlineStr">
        <is>
          <t>/product/micro-bands-revl</t>
        </is>
      </c>
    </row>
    <row r="230">
      <c r="A230" s="14" t="inlineStr">
        <is>
          <t>REFRACC01</t>
        </is>
      </c>
      <c r="B230" s="14" t="inlineStr">
        <is>
          <t>Modular Storage Rack Flat Shelf</t>
        </is>
      </c>
      <c r="C230" s="14" t="inlineStr">
        <is>
          <t>Equipment Storage</t>
        </is>
      </c>
      <c r="D230" s="15" t="inlineStr">
        <is>
          <t>No</t>
        </is>
      </c>
      <c r="E230" s="15" t="inlineStr"/>
      <c r="F230" s="15" t="inlineStr">
        <is>
          <t>Yes</t>
        </is>
      </c>
      <c r="G230" s="16" t="n">
        <v>19</v>
      </c>
      <c r="H230" s="16" t="n">
        <v>160</v>
      </c>
      <c r="I230" s="16" t="n">
        <v>63</v>
      </c>
      <c r="J230" s="16" t="n"/>
      <c r="K230" s="14">
        <f>TRIM(IF(F230="No","Features ","")&amp;IF(G230="","Weight ","")&amp;IF(OR(H230="",I230="",J230="")," Dimensions",""))</f>
        <v/>
      </c>
      <c r="L230" s="15">
        <f>IF(OR(G230="",H230="",I230="",J230=""),"No data",IF(AND(G230&lt;=22,MAX(H230:J230)&lt;=105,(H230*I230*J230)/1000000&lt;=0.25),"Yes","Too big"))</f>
        <v/>
      </c>
      <c r="M230" s="14" t="inlineStr">
        <is>
          <t>/product/modular-storage-rack-flat-shelf</t>
        </is>
      </c>
    </row>
    <row r="231">
      <c r="A231" s="14" t="inlineStr">
        <is>
          <t>REFRACC02</t>
        </is>
      </c>
      <c r="B231" s="14" t="inlineStr">
        <is>
          <t>Modular Storage Rack Shelf Dual Pipe</t>
        </is>
      </c>
      <c r="C231" s="14" t="inlineStr">
        <is>
          <t>Equipment Storage</t>
        </is>
      </c>
      <c r="D231" s="15" t="inlineStr">
        <is>
          <t>No</t>
        </is>
      </c>
      <c r="E231" s="15" t="inlineStr"/>
      <c r="F231" s="15" t="inlineStr">
        <is>
          <t>Yes</t>
        </is>
      </c>
      <c r="G231" s="16" t="n">
        <v>11</v>
      </c>
      <c r="H231" s="16" t="n">
        <v>151</v>
      </c>
      <c r="I231" s="16" t="n">
        <v>29.5</v>
      </c>
      <c r="J231" s="16" t="n"/>
      <c r="K231" s="14">
        <f>TRIM(IF(F231="No","Features ","")&amp;IF(G231="","Weight ","")&amp;IF(OR(H231="",I231="",J231="")," Dimensions",""))</f>
        <v/>
      </c>
      <c r="L231" s="15">
        <f>IF(OR(G231="",H231="",I231="",J231=""),"No data",IF(AND(G231&lt;=22,MAX(H231:J231)&lt;=105,(H231*I231*J231)/1000000&lt;=0.25),"Yes","Too big"))</f>
        <v/>
      </c>
      <c r="M231" s="14" t="inlineStr">
        <is>
          <t>/product/modular-storage-rack-shelf-dual-pipe</t>
        </is>
      </c>
    </row>
    <row r="232">
      <c r="A232" s="14" t="inlineStr">
        <is>
          <t>REFRACC03</t>
        </is>
      </c>
      <c r="B232" s="14" t="inlineStr">
        <is>
          <t>Modular Storage Rack Side (1582mm)</t>
        </is>
      </c>
      <c r="C232" s="14" t="inlineStr">
        <is>
          <t>Equipment Storage</t>
        </is>
      </c>
      <c r="D232" s="15" t="inlineStr">
        <is>
          <t>No</t>
        </is>
      </c>
      <c r="E232" s="15" t="inlineStr"/>
      <c r="F232" s="15" t="inlineStr">
        <is>
          <t>Yes</t>
        </is>
      </c>
      <c r="G232" s="16" t="n">
        <v>20</v>
      </c>
      <c r="H232" s="16" t="n">
        <v>161</v>
      </c>
      <c r="I232" s="16" t="n">
        <v>63</v>
      </c>
      <c r="J232" s="16" t="n"/>
      <c r="K232" s="14">
        <f>TRIM(IF(F232="No","Features ","")&amp;IF(G232="","Weight ","")&amp;IF(OR(H232="",I232="",J232="")," Dimensions",""))</f>
        <v/>
      </c>
      <c r="L232" s="15">
        <f>IF(OR(G232="",H232="",I232="",J232=""),"No data",IF(AND(G232&lt;=22,MAX(H232:J232)&lt;=105,(H232*I232*J232)/1000000&lt;=0.25),"Yes","Too big"))</f>
        <v/>
      </c>
      <c r="M232" s="14" t="inlineStr">
        <is>
          <t>/product/modular-storage-rack-side-1582mm-2</t>
        </is>
      </c>
    </row>
    <row r="233">
      <c r="A233" s="14" t="inlineStr">
        <is>
          <t>REFRBB02</t>
        </is>
      </c>
      <c r="B233" s="14" t="inlineStr">
        <is>
          <t>Barbell Storage Box (12 Bar Holder)</t>
        </is>
      </c>
      <c r="C233" s="14" t="inlineStr">
        <is>
          <t>Equipment Storage</t>
        </is>
      </c>
      <c r="D233" s="15" t="inlineStr">
        <is>
          <t>No</t>
        </is>
      </c>
      <c r="E233" s="15" t="inlineStr"/>
      <c r="F233" s="15" t="inlineStr">
        <is>
          <t>Yes</t>
        </is>
      </c>
      <c r="G233" s="16" t="n"/>
      <c r="H233" s="16" t="n">
        <v>3.5</v>
      </c>
      <c r="I233" s="16" t="n"/>
      <c r="J233" s="16" t="n"/>
      <c r="K233" s="14">
        <f>TRIM(IF(F233="No","Features ","")&amp;IF(G233="","Weight ","")&amp;IF(OR(H233="",I233="",J233="")," Dimensions",""))</f>
        <v/>
      </c>
      <c r="L233" s="15">
        <f>IF(OR(G233="",H233="",I233="",J233=""),"No data",IF(AND(G233&lt;=22,MAX(H233:J233)&lt;=105,(H233*I233*J233)/1000000&lt;=0.25),"Yes","Too big"))</f>
        <v/>
      </c>
      <c r="M233" s="14" t="inlineStr">
        <is>
          <t>/product/barbell-storage-box-12-bar-holder</t>
        </is>
      </c>
    </row>
    <row r="234">
      <c r="A234" s="14" t="inlineStr">
        <is>
          <t>REFROP01</t>
        </is>
      </c>
      <c r="B234" s="14" t="inlineStr">
        <is>
          <t>Olympic Weight Plate Tree (6 Storage Pins, 2 Plate Storage)</t>
        </is>
      </c>
      <c r="C234" s="14" t="inlineStr">
        <is>
          <t>Equipment Storage</t>
        </is>
      </c>
      <c r="D234" s="15" t="inlineStr">
        <is>
          <t>No</t>
        </is>
      </c>
      <c r="E234" s="15" t="inlineStr"/>
      <c r="F234" s="15" t="inlineStr">
        <is>
          <t>Yes</t>
        </is>
      </c>
      <c r="G234" s="16" t="n">
        <v>28</v>
      </c>
      <c r="H234" s="16" t="n">
        <v>138</v>
      </c>
      <c r="I234" s="16" t="n">
        <v>65</v>
      </c>
      <c r="J234" s="16" t="n"/>
      <c r="K234" s="14">
        <f>TRIM(IF(F234="No","Features ","")&amp;IF(G234="","Weight ","")&amp;IF(OR(H234="",I234="",J234="")," Dimensions",""))</f>
        <v/>
      </c>
      <c r="L234" s="15">
        <f>IF(OR(G234="",H234="",I234="",J234=""),"No data",IF(AND(G234&lt;=22,MAX(H234:J234)&lt;=105,(H234*I234*J234)/1000000&lt;=0.25),"Yes","Too big"))</f>
        <v/>
      </c>
      <c r="M234" s="14" t="inlineStr">
        <is>
          <t>/product/olympic-weight-plate-tree-8-storage-pins</t>
        </is>
      </c>
    </row>
    <row r="235">
      <c r="A235" s="14" t="inlineStr">
        <is>
          <t>REWMACC01</t>
        </is>
      </c>
      <c r="B235" s="14" t="inlineStr">
        <is>
          <t>Dip Bar Holder (Wall Mounted)</t>
        </is>
      </c>
      <c r="C235" s="14" t="inlineStr">
        <is>
          <t>Equipment Storage</t>
        </is>
      </c>
      <c r="D235" s="15" t="inlineStr">
        <is>
          <t>No</t>
        </is>
      </c>
      <c r="E235" s="15" t="inlineStr"/>
      <c r="F235" s="15" t="inlineStr">
        <is>
          <t>Yes</t>
        </is>
      </c>
      <c r="G235" s="16" t="n">
        <v>19</v>
      </c>
      <c r="H235" s="16" t="n">
        <v>14</v>
      </c>
      <c r="I235" s="16" t="n">
        <v>26.5</v>
      </c>
      <c r="J235" s="16" t="n"/>
      <c r="K235" s="14">
        <f>TRIM(IF(F235="No","Features ","")&amp;IF(G235="","Weight ","")&amp;IF(OR(H235="",I235="",J235="")," Dimensions",""))</f>
        <v/>
      </c>
      <c r="L235" s="15">
        <f>IF(OR(G235="",H235="",I235="",J235=""),"No data",IF(AND(G235&lt;=22,MAX(H235:J235)&lt;=105,(H235*I235*J235)/1000000&lt;=0.25),"Yes","Too big"))</f>
        <v/>
      </c>
      <c r="M235" s="14" t="inlineStr">
        <is>
          <t>/product/dip-bar-holder-wall-mounted-2</t>
        </is>
      </c>
    </row>
    <row r="236">
      <c r="A236" s="14" t="inlineStr">
        <is>
          <t>REWMBER01</t>
        </is>
      </c>
      <c r="B236" s="14" t="inlineStr">
        <is>
          <t>Bench &amp; Rower Rack (Wall Mounted)</t>
        </is>
      </c>
      <c r="C236" s="14" t="inlineStr">
        <is>
          <t>Equipment Storage</t>
        </is>
      </c>
      <c r="D236" s="15" t="inlineStr">
        <is>
          <t>No</t>
        </is>
      </c>
      <c r="E236" s="15" t="inlineStr"/>
      <c r="F236" s="15" t="inlineStr">
        <is>
          <t>Yes</t>
        </is>
      </c>
      <c r="G236" s="16" t="n">
        <v>7</v>
      </c>
      <c r="H236" s="16" t="n">
        <v>60.5</v>
      </c>
      <c r="I236" s="16" t="n">
        <v>7</v>
      </c>
      <c r="J236" s="16" t="n"/>
      <c r="K236" s="14">
        <f>TRIM(IF(F236="No","Features ","")&amp;IF(G236="","Weight ","")&amp;IF(OR(H236="",I236="",J236="")," Dimensions",""))</f>
        <v/>
      </c>
      <c r="L236" s="15">
        <f>IF(OR(G236="",H236="",I236="",J236=""),"No data",IF(AND(G236&lt;=22,MAX(H236:J236)&lt;=105,(H236*I236*J236)/1000000&lt;=0.25),"Yes","Too big"))</f>
        <v/>
      </c>
      <c r="M236" s="14" t="inlineStr">
        <is>
          <t>/product/bench-rower-rack-wall-mounted-2</t>
        </is>
      </c>
    </row>
    <row r="237">
      <c r="A237" s="14" t="inlineStr">
        <is>
          <t>REWMOP01</t>
        </is>
      </c>
      <c r="B237" s="14" t="inlineStr">
        <is>
          <t>Vertical Bumper Plate Rack 4 Tier (Wall Mounted)</t>
        </is>
      </c>
      <c r="C237" s="14" t="inlineStr">
        <is>
          <t>Equipment Storage</t>
        </is>
      </c>
      <c r="D237" s="15" t="inlineStr">
        <is>
          <t>No</t>
        </is>
      </c>
      <c r="E237" s="15" t="inlineStr"/>
      <c r="F237" s="15" t="inlineStr">
        <is>
          <t>Yes</t>
        </is>
      </c>
      <c r="G237" s="16" t="n">
        <v>13</v>
      </c>
      <c r="H237" s="16" t="n">
        <v>120</v>
      </c>
      <c r="I237" s="16" t="n">
        <v>38</v>
      </c>
      <c r="J237" s="16" t="n"/>
      <c r="K237" s="14">
        <f>TRIM(IF(F237="No","Features ","")&amp;IF(G237="","Weight ","")&amp;IF(OR(H237="",I237="",J237="")," Dimensions",""))</f>
        <v/>
      </c>
      <c r="L237" s="15">
        <f>IF(OR(G237="",H237="",I237="",J237=""),"No data",IF(AND(G237&lt;=22,MAX(H237:J237)&lt;=105,(H237*I237*J237)/1000000&lt;=0.25),"Yes","Too big"))</f>
        <v/>
      </c>
      <c r="M237" s="14" t="inlineStr">
        <is>
          <t>/product/vertical-bumper-plate-rack-4-tier-wall-mounted</t>
        </is>
      </c>
    </row>
    <row r="238">
      <c r="A238" s="14" t="inlineStr">
        <is>
          <t>RFATSY01</t>
        </is>
      </c>
      <c r="B238" s="14" t="inlineStr">
        <is>
          <t>Artificial Turf Black (2m X 10m)</t>
        </is>
      </c>
      <c r="C238" s="14" t="inlineStr">
        <is>
          <t>Flooring</t>
        </is>
      </c>
      <c r="D238" s="15" t="inlineStr">
        <is>
          <t>No</t>
        </is>
      </c>
      <c r="E238" s="15" t="inlineStr"/>
      <c r="F238" s="15" t="inlineStr">
        <is>
          <t>Yes</t>
        </is>
      </c>
      <c r="G238" s="16" t="n">
        <v>43</v>
      </c>
      <c r="H238" s="16" t="n">
        <v>200</v>
      </c>
      <c r="I238" s="16" t="n">
        <v>45</v>
      </c>
      <c r="J238" s="16" t="n">
        <v>45</v>
      </c>
      <c r="K238" s="14">
        <f>TRIM(IF(F238="No","Features ","")&amp;IF(G238="","Weight ","")&amp;IF(OR(H238="",I238="",J238="")," Dimensions",""))</f>
        <v/>
      </c>
      <c r="L238" s="15">
        <f>IF(OR(G238="",H238="",I238="",J238=""),"No data",IF(AND(G238&lt;=22,MAX(H238:J238)&lt;=105,(H238*I238*J238)/1000000&lt;=0.25),"Yes","Too big"))</f>
        <v/>
      </c>
      <c r="M238" s="14" t="inlineStr">
        <is>
          <t>/product/artificial-turf-black-2m-x-10m</t>
        </is>
      </c>
    </row>
    <row r="239">
      <c r="A239" s="14" t="inlineStr">
        <is>
          <t>RFATSY02</t>
        </is>
      </c>
      <c r="B239" s="14" t="inlineStr">
        <is>
          <t>Artificial Turf Black (2m X 10m) (Custom Branding)</t>
        </is>
      </c>
      <c r="C239" s="14" t="inlineStr">
        <is>
          <t>Flooring</t>
        </is>
      </c>
      <c r="D239" s="15" t="inlineStr">
        <is>
          <t>No</t>
        </is>
      </c>
      <c r="E239" s="15" t="inlineStr"/>
      <c r="F239" s="15" t="inlineStr">
        <is>
          <t>Yes</t>
        </is>
      </c>
      <c r="G239" s="16" t="n">
        <v>43</v>
      </c>
      <c r="H239" s="16" t="n">
        <v>200</v>
      </c>
      <c r="I239" s="16" t="n">
        <v>45</v>
      </c>
      <c r="J239" s="16" t="n">
        <v>45</v>
      </c>
      <c r="K239" s="14">
        <f>TRIM(IF(F239="No","Features ","")&amp;IF(G239="","Weight ","")&amp;IF(OR(H239="",I239="",J239="")," Dimensions",""))</f>
        <v/>
      </c>
      <c r="L239" s="15">
        <f>IF(OR(G239="",H239="",I239="",J239=""),"No data",IF(AND(G239&lt;=22,MAX(H239:J239)&lt;=105,(H239*I239*J239)/1000000&lt;=0.25),"Yes","Too big"))</f>
        <v/>
      </c>
      <c r="M239" s="14" t="inlineStr">
        <is>
          <t>/product/artificial-turf-black-2m-x-10m-custom-branding</t>
        </is>
      </c>
    </row>
    <row r="240">
      <c r="A240" s="14" t="inlineStr">
        <is>
          <t>RFRFRR-1</t>
        </is>
      </c>
      <c r="B240" s="14" t="inlineStr">
        <is>
          <t>Acoustic Underlay</t>
        </is>
      </c>
      <c r="C240" s="14" t="inlineStr">
        <is>
          <t>Flooring</t>
        </is>
      </c>
      <c r="D240" s="15" t="inlineStr">
        <is>
          <t>No</t>
        </is>
      </c>
      <c r="E240" s="15" t="inlineStr"/>
      <c r="F240" s="15" t="inlineStr">
        <is>
          <t>Yes</t>
        </is>
      </c>
      <c r="G240" s="16" t="n"/>
      <c r="H240" s="16" t="n"/>
      <c r="I240" s="16" t="n"/>
      <c r="J240" s="16" t="n"/>
      <c r="K240" s="14">
        <f>TRIM(IF(F240="No","Features ","")&amp;IF(G240="","Weight ","")&amp;IF(OR(H240="",I240="",J240="")," Dimensions",""))</f>
        <v/>
      </c>
      <c r="L240" s="15">
        <f>IF(OR(G240="",H240="",I240="",J240=""),"No data",IF(AND(G240&lt;=22,MAX(H240:J240)&lt;=105,(H240*I240*J240)/1000000&lt;=0.25),"Yes","Too big"))</f>
        <v/>
      </c>
      <c r="M240" s="14" t="inlineStr">
        <is>
          <t>/product/acoustic-underlay-group</t>
        </is>
      </c>
    </row>
    <row r="241">
      <c r="A241" s="14" t="inlineStr">
        <is>
          <t>RFRFRR-5</t>
        </is>
      </c>
      <c r="B241" s="14" t="inlineStr">
        <is>
          <t>Acoustic Underlay 5mm (1m x 10m Roll)</t>
        </is>
      </c>
      <c r="C241" s="14" t="inlineStr">
        <is>
          <t>Flooring</t>
        </is>
      </c>
      <c r="D241" s="15" t="inlineStr">
        <is>
          <t>No</t>
        </is>
      </c>
      <c r="E241" s="15" t="inlineStr"/>
      <c r="F241" s="15" t="inlineStr">
        <is>
          <t>Yes</t>
        </is>
      </c>
      <c r="G241" s="16" t="n">
        <v>35</v>
      </c>
      <c r="H241" s="16" t="n">
        <v>100</v>
      </c>
      <c r="I241" s="16" t="n">
        <v>27</v>
      </c>
      <c r="J241" s="16" t="n">
        <v>27</v>
      </c>
      <c r="K241" s="14">
        <f>TRIM(IF(F241="No","Features ","")&amp;IF(G241="","Weight ","")&amp;IF(OR(H241="",I241="",J241="")," Dimensions",""))</f>
        <v/>
      </c>
      <c r="L241" s="15">
        <f>IF(OR(G241="",H241="",I241="",J241=""),"No data",IF(AND(G241&lt;=22,MAX(H241:J241)&lt;=105,(H241*I241*J241)/1000000&lt;=0.25),"Yes","Too big"))</f>
        <v/>
      </c>
      <c r="M241" s="14" t="inlineStr">
        <is>
          <t>/product/acoustic-underlay-5mm</t>
        </is>
      </c>
    </row>
    <row r="242">
      <c r="A242" s="14" t="inlineStr">
        <is>
          <t>RFRFRR-GROUP</t>
        </is>
      </c>
      <c r="B242" s="14" t="inlineStr">
        <is>
          <t>REVL Impact-Lock Rubber Tiles</t>
        </is>
      </c>
      <c r="C242" s="14" t="inlineStr">
        <is>
          <t>Flooring</t>
        </is>
      </c>
      <c r="D242" s="15" t="inlineStr">
        <is>
          <t>No</t>
        </is>
      </c>
      <c r="E242" s="15" t="inlineStr"/>
      <c r="F242" s="15" t="inlineStr">
        <is>
          <t>Yes</t>
        </is>
      </c>
      <c r="G242" s="16" t="n">
        <v>28</v>
      </c>
      <c r="H242" s="16" t="n">
        <v>105</v>
      </c>
      <c r="I242" s="16" t="n">
        <v>105</v>
      </c>
      <c r="J242" s="16" t="n">
        <v>3.2</v>
      </c>
      <c r="K242" s="14">
        <f>TRIM(IF(F242="No","Features ","")&amp;IF(G242="","Weight ","")&amp;IF(OR(H242="",I242="",J242="")," Dimensions",""))</f>
        <v/>
      </c>
      <c r="L242" s="15">
        <f>IF(OR(G242="",H242="",I242="",J242=""),"No data",IF(AND(G242&lt;=22,MAX(H242:J242)&lt;=105,(H242*I242*J242)/1000000&lt;=0.25),"Yes","Too big"))</f>
        <v/>
      </c>
      <c r="M242" s="14" t="inlineStr">
        <is>
          <t>/product/revl-impact-lock-rubber-tiles</t>
        </is>
      </c>
    </row>
    <row r="243">
      <c r="A243" s="14" t="inlineStr">
        <is>
          <t>RFDA</t>
        </is>
      </c>
      <c r="B243" s="14" t="inlineStr">
        <is>
          <t>Logistics Allowance</t>
        </is>
      </c>
      <c r="C243" s="14" t="inlineStr">
        <is>
          <t>Freight &amp;amp; Delivery</t>
        </is>
      </c>
      <c r="D243" s="15" t="inlineStr">
        <is>
          <t>No</t>
        </is>
      </c>
      <c r="E243" s="15" t="inlineStr"/>
      <c r="F243" s="15" t="inlineStr">
        <is>
          <t>No</t>
        </is>
      </c>
      <c r="G243" s="16" t="n"/>
      <c r="H243" s="16" t="n"/>
      <c r="I243" s="16" t="n"/>
      <c r="J243" s="16" t="n"/>
      <c r="K243" s="14">
        <f>TRIM(IF(F243="No","Features ","")&amp;IF(G243="","Weight ","")&amp;IF(OR(H243="",I243="",J243="")," Dimensions",""))</f>
        <v/>
      </c>
      <c r="L243" s="15">
        <f>IF(OR(G243="",H243="",I243="",J243=""),"No data",IF(AND(G243&lt;=22,MAX(H243:J243)&lt;=105,(H243*I243*J243)/1000000&lt;=0.25),"Yes","Too big"))</f>
        <v/>
      </c>
      <c r="M243" s="14" t="inlineStr">
        <is>
          <t>/product/logistics-allowance</t>
        </is>
      </c>
    </row>
    <row r="244">
      <c r="A244" s="14" t="inlineStr">
        <is>
          <t>RLLE2501</t>
        </is>
      </c>
      <c r="B244" s="14" t="inlineStr">
        <is>
          <t>REVL Linear LED Lighting System – 2.4m</t>
        </is>
      </c>
      <c r="C244" s="14" t="inlineStr">
        <is>
          <t>Lighting</t>
        </is>
      </c>
      <c r="D244" s="15" t="inlineStr">
        <is>
          <t>No</t>
        </is>
      </c>
      <c r="E244" s="15" t="inlineStr"/>
      <c r="F244" s="15" t="inlineStr">
        <is>
          <t>Yes</t>
        </is>
      </c>
      <c r="G244" s="16" t="n">
        <v>6</v>
      </c>
      <c r="H244" s="16" t="n">
        <v>243</v>
      </c>
      <c r="I244" s="16" t="n">
        <v>18.5</v>
      </c>
      <c r="J244" s="16" t="n">
        <v>4.2</v>
      </c>
      <c r="K244" s="14">
        <f>TRIM(IF(F244="No","Features ","")&amp;IF(G244="","Weight ","")&amp;IF(OR(H244="",I244="",J244="")," Dimensions",""))</f>
        <v/>
      </c>
      <c r="L244" s="15">
        <f>IF(OR(G244="",H244="",I244="",J244=""),"No data",IF(AND(G244&lt;=22,MAX(H244:J244)&lt;=105,(H244*I244*J244)/1000000&lt;=0.25),"Yes","Too big"))</f>
        <v/>
      </c>
      <c r="M244" s="14" t="inlineStr">
        <is>
          <t>/product/revl-linear-led-lighting-system-2-4m</t>
        </is>
      </c>
    </row>
    <row r="245">
      <c r="A245" s="14" t="inlineStr">
        <is>
          <t>RLLE2502</t>
        </is>
      </c>
      <c r="B245" s="14" t="inlineStr">
        <is>
          <t>REVL LED Dimmers</t>
        </is>
      </c>
      <c r="C245" s="14" t="inlineStr">
        <is>
          <t>Lighting</t>
        </is>
      </c>
      <c r="D245" s="15" t="inlineStr">
        <is>
          <t>No</t>
        </is>
      </c>
      <c r="E245" s="15" t="inlineStr"/>
      <c r="F245" s="15" t="inlineStr">
        <is>
          <t>Yes</t>
        </is>
      </c>
      <c r="G245" s="16" t="n">
        <v>0.5</v>
      </c>
      <c r="H245" s="16" t="n">
        <v>0.3</v>
      </c>
      <c r="I245" s="16" t="n">
        <v>0.3</v>
      </c>
      <c r="J245" s="16" t="n">
        <v>0.001</v>
      </c>
      <c r="K245" s="14">
        <f>TRIM(IF(F245="No","Features ","")&amp;IF(G245="","Weight ","")&amp;IF(OR(H245="",I245="",J245="")," Dimensions",""))</f>
        <v/>
      </c>
      <c r="L245" s="15">
        <f>IF(OR(G245="",H245="",I245="",J245=""),"No data",IF(AND(G245&lt;=22,MAX(H245:J245)&lt;=105,(H245*I245*J245)/1000000&lt;=0.25),"Yes","Too big"))</f>
        <v/>
      </c>
      <c r="M245" s="14" t="inlineStr">
        <is>
          <t>/product/revl-led-dimmers</t>
        </is>
      </c>
    </row>
    <row r="246">
      <c r="A246" s="14" t="inlineStr">
        <is>
          <t>RMDBRH-GROUP</t>
        </is>
      </c>
      <c r="B246" s="14" t="inlineStr">
        <is>
          <t>Premium Rubber Hex Dumbbells</t>
        </is>
      </c>
      <c r="C246" s="14" t="inlineStr">
        <is>
          <t>Mixed Implements</t>
        </is>
      </c>
      <c r="D246" s="15" t="inlineStr">
        <is>
          <t>No</t>
        </is>
      </c>
      <c r="E246" s="15" t="inlineStr"/>
      <c r="F246" s="15" t="inlineStr">
        <is>
          <t>Yes</t>
        </is>
      </c>
      <c r="G246" s="16" t="n">
        <v>11</v>
      </c>
      <c r="H246" s="16" t="n"/>
      <c r="I246" s="16" t="n">
        <v>14</v>
      </c>
      <c r="J246" s="16" t="n">
        <v>12.5</v>
      </c>
      <c r="K246" s="14">
        <f>TRIM(IF(F246="No","Features ","")&amp;IF(G246="","Weight ","")&amp;IF(OR(H246="",I246="",J246="")," Dimensions",""))</f>
        <v/>
      </c>
      <c r="L246" s="15">
        <f>IF(OR(G246="",H246="",I246="",J246=""),"No data",IF(AND(G246&lt;=22,MAX(H246:J246)&lt;=105,(H246*I246*J246)/1000000&lt;=0.25),"Yes","Too big"))</f>
        <v/>
      </c>
      <c r="M246" s="14" t="inlineStr">
        <is>
          <t>/product/premium-rubber-hex-dumbbells</t>
        </is>
      </c>
    </row>
    <row r="247">
      <c r="A247" s="14" t="inlineStr">
        <is>
          <t>RMDEHG-GROUP</t>
        </is>
      </c>
      <c r="B247" s="14" t="inlineStr">
        <is>
          <t>High Grip Dead Balls</t>
        </is>
      </c>
      <c r="C247" s="14" t="inlineStr">
        <is>
          <t>Mixed Implements</t>
        </is>
      </c>
      <c r="D247" s="15" t="inlineStr">
        <is>
          <t>No</t>
        </is>
      </c>
      <c r="E247" s="15" t="inlineStr"/>
      <c r="F247" s="15" t="inlineStr">
        <is>
          <t>Yes</t>
        </is>
      </c>
      <c r="G247" s="16" t="n">
        <v>13</v>
      </c>
      <c r="H247" s="16" t="n">
        <v>29</v>
      </c>
      <c r="I247" s="16" t="n">
        <v>29</v>
      </c>
      <c r="J247" s="16" t="n">
        <v>29</v>
      </c>
      <c r="K247" s="14">
        <f>TRIM(IF(F247="No","Features ","")&amp;IF(G247="","Weight ","")&amp;IF(OR(H247="",I247="",J247="")," Dimensions",""))</f>
        <v/>
      </c>
      <c r="L247" s="15">
        <f>IF(OR(G247="",H247="",I247="",J247=""),"No data",IF(AND(G247&lt;=22,MAX(H247:J247)&lt;=105,(H247*I247*J247)/1000000&lt;=0.25),"Yes","Too big"))</f>
        <v/>
      </c>
      <c r="M247" s="14" t="inlineStr">
        <is>
          <t>/product/high-grip-dead-balls</t>
        </is>
      </c>
    </row>
    <row r="248">
      <c r="A248" s="14" t="inlineStr">
        <is>
          <t>RMGFACC01</t>
        </is>
      </c>
      <c r="B248" s="14" t="inlineStr">
        <is>
          <t>Digital Interval Timer</t>
        </is>
      </c>
      <c r="C248" s="14" t="inlineStr">
        <is>
          <t>Mixed Implements</t>
        </is>
      </c>
      <c r="D248" s="15" t="inlineStr">
        <is>
          <t>No</t>
        </is>
      </c>
      <c r="E248" s="15" t="inlineStr"/>
      <c r="F248" s="15" t="inlineStr">
        <is>
          <t>Yes</t>
        </is>
      </c>
      <c r="G248" s="16" t="n">
        <v>4</v>
      </c>
      <c r="H248" s="16" t="n">
        <v>87</v>
      </c>
      <c r="I248" s="16" t="n">
        <v>17</v>
      </c>
      <c r="J248" s="16" t="n"/>
      <c r="K248" s="14">
        <f>TRIM(IF(F248="No","Features ","")&amp;IF(G248="","Weight ","")&amp;IF(OR(H248="",I248="",J248="")," Dimensions",""))</f>
        <v/>
      </c>
      <c r="L248" s="15">
        <f>IF(OR(G248="",H248="",I248="",J248=""),"No data",IF(AND(G248&lt;=22,MAX(H248:J248)&lt;=105,(H248*I248*J248)/1000000&lt;=0.25),"Yes","Too big"))</f>
        <v/>
      </c>
      <c r="M248" s="14" t="inlineStr">
        <is>
          <t>/product/digital-interval-timer-2</t>
        </is>
      </c>
    </row>
    <row r="249">
      <c r="A249" s="14" t="inlineStr">
        <is>
          <t>RMKBPGC-GROUP</t>
        </is>
      </c>
      <c r="B249" s="14" t="inlineStr">
        <is>
          <t>Competition Kettlebells</t>
        </is>
      </c>
      <c r="C249" s="14" t="inlineStr">
        <is>
          <t>Mixed Implements</t>
        </is>
      </c>
      <c r="D249" s="15" t="inlineStr">
        <is>
          <t>No</t>
        </is>
      </c>
      <c r="E249" s="15" t="inlineStr"/>
      <c r="F249" s="15" t="inlineStr">
        <is>
          <t>Yes</t>
        </is>
      </c>
      <c r="G249" s="16" t="n">
        <v>11</v>
      </c>
      <c r="H249" s="16" t="n">
        <v>23</v>
      </c>
      <c r="I249" s="16" t="n">
        <v>23</v>
      </c>
      <c r="J249" s="16" t="n">
        <v>31</v>
      </c>
      <c r="K249" s="14">
        <f>TRIM(IF(F249="No","Features ","")&amp;IF(G249="","Weight ","")&amp;IF(OR(H249="",I249="",J249="")," Dimensions",""))</f>
        <v/>
      </c>
      <c r="L249" s="15">
        <f>IF(OR(G249="",H249="",I249="",J249=""),"No data",IF(AND(G249&lt;=22,MAX(H249:J249)&lt;=105,(H249*I249*J249)/1000000&lt;=0.25),"Yes","Too big"))</f>
        <v/>
      </c>
      <c r="M249" s="14" t="inlineStr">
        <is>
          <t>/product/competition-kettlebells-2</t>
        </is>
      </c>
    </row>
    <row r="250">
      <c r="A250" s="14" t="inlineStr">
        <is>
          <t>RMWAARM-GROUP</t>
        </is>
      </c>
      <c r="B250" s="14" t="inlineStr">
        <is>
          <t>Wall Balls</t>
        </is>
      </c>
      <c r="C250" s="14" t="inlineStr">
        <is>
          <t>Mixed Implements</t>
        </is>
      </c>
      <c r="D250" s="15" t="inlineStr">
        <is>
          <t>No</t>
        </is>
      </c>
      <c r="E250" s="15" t="inlineStr"/>
      <c r="F250" s="15" t="inlineStr">
        <is>
          <t>Yes</t>
        </is>
      </c>
      <c r="G250" s="16" t="n">
        <v>7</v>
      </c>
      <c r="H250" s="16" t="n">
        <v>36.6</v>
      </c>
      <c r="I250" s="16" t="n">
        <v>36.6</v>
      </c>
      <c r="J250" s="16" t="n">
        <v>36.6</v>
      </c>
      <c r="K250" s="14">
        <f>TRIM(IF(F250="No","Features ","")&amp;IF(G250="","Weight ","")&amp;IF(OR(H250="",I250="",J250="")," Dimensions",""))</f>
        <v/>
      </c>
      <c r="L250" s="15">
        <f>IF(OR(G250="",H250="",I250="",J250=""),"No data",IF(AND(G250&lt;=22,MAX(H250:J250)&lt;=105,(H250*I250*J250)/1000000&lt;=0.25),"Yes","Too big"))</f>
        <v/>
      </c>
      <c r="M250" s="14" t="inlineStr">
        <is>
          <t>/product/wall-balls-2</t>
        </is>
      </c>
    </row>
    <row r="251">
      <c r="A251" s="14" t="inlineStr">
        <is>
          <t>RBCTFS01</t>
        </is>
      </c>
      <c r="B251" s="14" t="inlineStr">
        <is>
          <t>Rig Core Trainer Attachment</t>
        </is>
      </c>
      <c r="C251" s="14" t="inlineStr">
        <is>
          <t>Rigs &amp; Racks</t>
        </is>
      </c>
      <c r="D251" s="15" t="inlineStr">
        <is>
          <t>No</t>
        </is>
      </c>
      <c r="E251" s="15" t="inlineStr"/>
      <c r="F251" s="15" t="inlineStr">
        <is>
          <t>Yes</t>
        </is>
      </c>
      <c r="G251" s="16" t="n">
        <v>4</v>
      </c>
      <c r="H251" s="16" t="n">
        <v>55</v>
      </c>
      <c r="I251" s="16" t="n">
        <v>12</v>
      </c>
      <c r="J251" s="16" t="n">
        <v>12</v>
      </c>
      <c r="K251" s="14">
        <f>TRIM(IF(F251="No","Features ","")&amp;IF(G251="","Weight ","")&amp;IF(OR(H251="",I251="",J251="")," Dimensions",""))</f>
        <v/>
      </c>
      <c r="L251" s="15">
        <f>IF(OR(G251="",H251="",I251="",J251=""),"No data",IF(AND(G251&lt;=22,MAX(H251:J251)&lt;=105,(H251*I251*J251)/1000000&lt;=0.25),"Yes","Too big"))</f>
        <v/>
      </c>
      <c r="M251" s="14" t="inlineStr">
        <is>
          <t>/product/rig-core-trainer-attachment</t>
        </is>
      </c>
    </row>
    <row r="252">
      <c r="A252" s="14" t="inlineStr">
        <is>
          <t>RRSPATT-GROUP</t>
        </is>
      </c>
      <c r="B252" s="14" t="inlineStr">
        <is>
          <t>Rig Crossbeam Single Pipes</t>
        </is>
      </c>
      <c r="C252" s="14" t="inlineStr">
        <is>
          <t>Rigs &amp; Racks</t>
        </is>
      </c>
      <c r="D252" s="15" t="inlineStr">
        <is>
          <t>No</t>
        </is>
      </c>
      <c r="E252" s="15" t="inlineStr"/>
      <c r="F252" s="15" t="inlineStr">
        <is>
          <t>Yes</t>
        </is>
      </c>
      <c r="G252" s="16" t="n">
        <v>6</v>
      </c>
      <c r="H252" s="16" t="n">
        <v>109</v>
      </c>
      <c r="I252" s="16" t="n">
        <v>7.5</v>
      </c>
      <c r="J252" s="16" t="n">
        <v>7.5</v>
      </c>
      <c r="K252" s="14">
        <f>TRIM(IF(F252="No","Features ","")&amp;IF(G252="","Weight ","")&amp;IF(OR(H252="",I252="",J252="")," Dimensions",""))</f>
        <v/>
      </c>
      <c r="L252" s="15">
        <f>IF(OR(G252="",H252="",I252="",J252=""),"No data",IF(AND(G252&lt;=22,MAX(H252:J252)&lt;=105,(H252*I252*J252)/1000000&lt;=0.25),"Yes","Too big"))</f>
        <v/>
      </c>
      <c r="M252" s="14" t="inlineStr">
        <is>
          <t>/product/rig-crossbeam-single-pipes</t>
        </is>
      </c>
    </row>
    <row r="253">
      <c r="A253" s="14" t="inlineStr">
        <is>
          <t>RRSPATT03</t>
        </is>
      </c>
      <c r="B253" s="14" t="inlineStr">
        <is>
          <t>Rig Universal Upright</t>
        </is>
      </c>
      <c r="C253" s="14" t="inlineStr">
        <is>
          <t>Rigs &amp; Racks</t>
        </is>
      </c>
      <c r="D253" s="15" t="inlineStr">
        <is>
          <t>No</t>
        </is>
      </c>
      <c r="E253" s="15" t="inlineStr"/>
      <c r="F253" s="15" t="inlineStr">
        <is>
          <t>Yes</t>
        </is>
      </c>
      <c r="G253" s="16" t="n">
        <v>19</v>
      </c>
      <c r="H253" s="16" t="n">
        <v>241</v>
      </c>
      <c r="I253" s="16" t="n">
        <v>7.5</v>
      </c>
      <c r="J253" s="16" t="n"/>
      <c r="K253" s="14">
        <f>TRIM(IF(F253="No","Features ","")&amp;IF(G253="","Weight ","")&amp;IF(OR(H253="",I253="",J253="")," Dimensions",""))</f>
        <v/>
      </c>
      <c r="L253" s="15">
        <f>IF(OR(G253="",H253="",I253="",J253=""),"No data",IF(AND(G253&lt;=22,MAX(H253:J253)&lt;=105,(H253*I253*J253)/1000000&lt;=0.25),"Yes","Too big"))</f>
        <v/>
      </c>
      <c r="M253" s="14" t="inlineStr">
        <is>
          <t>/product/rig-universal-upright-2</t>
        </is>
      </c>
    </row>
    <row r="254">
      <c r="A254" s="14" t="inlineStr">
        <is>
          <t>RRSPATT04</t>
        </is>
      </c>
      <c r="B254" s="14" t="inlineStr">
        <is>
          <t>Rig Dip Bar Attachment</t>
        </is>
      </c>
      <c r="C254" s="14" t="inlineStr">
        <is>
          <t>Rigs &amp; Racks</t>
        </is>
      </c>
      <c r="D254" s="15" t="inlineStr">
        <is>
          <t>No</t>
        </is>
      </c>
      <c r="E254" s="15" t="inlineStr"/>
      <c r="F254" s="15" t="inlineStr">
        <is>
          <t>Yes</t>
        </is>
      </c>
      <c r="G254" s="16" t="n">
        <v>11</v>
      </c>
      <c r="H254" s="16" t="n">
        <v>71</v>
      </c>
      <c r="I254" s="16" t="n">
        <v>59</v>
      </c>
      <c r="J254" s="16" t="n"/>
      <c r="K254" s="14">
        <f>TRIM(IF(F254="No","Features ","")&amp;IF(G254="","Weight ","")&amp;IF(OR(H254="",I254="",J254="")," Dimensions",""))</f>
        <v/>
      </c>
      <c r="L254" s="15">
        <f>IF(OR(G254="",H254="",I254="",J254=""),"No data",IF(AND(G254&lt;=22,MAX(H254:J254)&lt;=105,(H254*I254*J254)/1000000&lt;=0.25),"Yes","Too big"))</f>
        <v/>
      </c>
      <c r="M254" s="14" t="inlineStr">
        <is>
          <t>/product/rig-dip-bar-attachment-2</t>
        </is>
      </c>
    </row>
    <row r="255">
      <c r="A255" s="14" t="inlineStr">
        <is>
          <t>RRSPATT05</t>
        </is>
      </c>
      <c r="B255" s="14" t="inlineStr">
        <is>
          <t>Rig Premium J-Hooks</t>
        </is>
      </c>
      <c r="C255" s="14" t="inlineStr">
        <is>
          <t>Rigs &amp; Racks</t>
        </is>
      </c>
      <c r="D255" s="15" t="inlineStr">
        <is>
          <t>No</t>
        </is>
      </c>
      <c r="E255" s="15" t="inlineStr"/>
      <c r="F255" s="15" t="inlineStr">
        <is>
          <t>Yes</t>
        </is>
      </c>
      <c r="G255" s="16" t="n">
        <v>8</v>
      </c>
      <c r="H255" s="16" t="n">
        <v>16</v>
      </c>
      <c r="I255" s="16" t="n">
        <v>11</v>
      </c>
      <c r="J255" s="16" t="n"/>
      <c r="K255" s="14">
        <f>TRIM(IF(F255="No","Features ","")&amp;IF(G255="","Weight ","")&amp;IF(OR(H255="",I255="",J255="")," Dimensions",""))</f>
        <v/>
      </c>
      <c r="L255" s="15">
        <f>IF(OR(G255="",H255="",I255="",J255=""),"No data",IF(AND(G255&lt;=22,MAX(H255:J255)&lt;=105,(H255*I255*J255)/1000000&lt;=0.25),"Yes","Too big"))</f>
        <v/>
      </c>
      <c r="M255" s="14" t="inlineStr">
        <is>
          <t>/product/rig-premium-j-hooks-2</t>
        </is>
      </c>
    </row>
    <row r="256">
      <c r="A256" s="14" t="inlineStr">
        <is>
          <t>RRSPATT06</t>
        </is>
      </c>
      <c r="B256" s="14" t="inlineStr">
        <is>
          <t>Rig Wall Ball Target</t>
        </is>
      </c>
      <c r="C256" s="14" t="inlineStr">
        <is>
          <t>Rigs &amp; Racks</t>
        </is>
      </c>
      <c r="D256" s="15" t="inlineStr">
        <is>
          <t>No</t>
        </is>
      </c>
      <c r="E256" s="15" t="inlineStr"/>
      <c r="F256" s="15" t="inlineStr">
        <is>
          <t>Yes</t>
        </is>
      </c>
      <c r="G256" s="16" t="n">
        <v>19</v>
      </c>
      <c r="H256" s="16" t="n">
        <v>42.5</v>
      </c>
      <c r="I256" s="16" t="n">
        <v>41.8</v>
      </c>
      <c r="J256" s="16" t="n"/>
      <c r="K256" s="14">
        <f>TRIM(IF(F256="No","Features ","")&amp;IF(G256="","Weight ","")&amp;IF(OR(H256="",I256="",J256="")," Dimensions",""))</f>
        <v/>
      </c>
      <c r="L256" s="15">
        <f>IF(OR(G256="",H256="",I256="",J256=""),"No data",IF(AND(G256&lt;=22,MAX(H256:J256)&lt;=105,(H256*I256*J256)/1000000&lt;=0.25),"Yes","Too big"))</f>
        <v/>
      </c>
      <c r="M256" s="14" t="inlineStr">
        <is>
          <t>/product/rig-wall-ball-target-2</t>
        </is>
      </c>
    </row>
    <row r="257">
      <c r="A257" s="14" t="inlineStr">
        <is>
          <t>RRWAATT01</t>
        </is>
      </c>
      <c r="B257" s="14" t="inlineStr">
        <is>
          <t>Rig Spotters Arms (Pair)</t>
        </is>
      </c>
      <c r="C257" s="14" t="inlineStr">
        <is>
          <t>Rigs &amp; Racks</t>
        </is>
      </c>
      <c r="D257" s="15" t="inlineStr">
        <is>
          <t>No</t>
        </is>
      </c>
      <c r="E257" s="15" t="inlineStr"/>
      <c r="F257" s="15" t="inlineStr">
        <is>
          <t>Yes</t>
        </is>
      </c>
      <c r="G257" s="16" t="n">
        <v>19</v>
      </c>
      <c r="H257" s="16" t="n">
        <v>82.5</v>
      </c>
      <c r="I257" s="16" t="n">
        <v>19</v>
      </c>
      <c r="J257" s="16" t="n">
        <v>21.8</v>
      </c>
      <c r="K257" s="14">
        <f>TRIM(IF(F257="No","Features ","")&amp;IF(G257="","Weight ","")&amp;IF(OR(H257="",I257="",J257="")," Dimensions",""))</f>
        <v/>
      </c>
      <c r="L257" s="15">
        <f>IF(OR(G257="",H257="",I257="",J257=""),"No data",IF(AND(G257&lt;=22,MAX(H257:J257)&lt;=105,(H257*I257*J257)/1000000&lt;=0.25),"Yes","Too big"))</f>
        <v/>
      </c>
      <c r="M257" s="14" t="inlineStr">
        <is>
          <t>/product/rig-spotters-arms-pair</t>
        </is>
      </c>
    </row>
    <row r="258">
      <c r="A258" s="14" t="inlineStr">
        <is>
          <t>RSWBFW01</t>
        </is>
      </c>
      <c r="B258" s="14" t="inlineStr">
        <is>
          <t>Flat Utility Weight Bench Pro (Angled Legs)</t>
        </is>
      </c>
      <c r="C258" s="14" t="inlineStr">
        <is>
          <t>Strength</t>
        </is>
      </c>
      <c r="D258" s="15" t="inlineStr">
        <is>
          <t>No</t>
        </is>
      </c>
      <c r="E258" s="15" t="inlineStr"/>
      <c r="F258" s="15" t="inlineStr">
        <is>
          <t>Yes</t>
        </is>
      </c>
      <c r="G258" s="16" t="n">
        <v>26</v>
      </c>
      <c r="H258" s="16" t="n">
        <v>118</v>
      </c>
      <c r="I258" s="16" t="n">
        <v>52.5</v>
      </c>
      <c r="J258" s="16" t="n"/>
      <c r="K258" s="14">
        <f>TRIM(IF(F258="No","Features ","")&amp;IF(G258="","Weight ","")&amp;IF(OR(H258="",I258="",J258="")," Dimensions",""))</f>
        <v/>
      </c>
      <c r="L258" s="15">
        <f>IF(OR(G258="",H258="",I258="",J258=""),"No data",IF(AND(G258&lt;=22,MAX(H258:J258)&lt;=105,(H258*I258*J258)/1000000&lt;=0.25),"Yes","Too big"))</f>
        <v/>
      </c>
      <c r="M258" s="14" t="inlineStr">
        <is>
          <t>/product/flat-utility-weight-bench-pro-angled-legs</t>
        </is>
      </c>
    </row>
    <row r="259">
      <c r="A259" s="14" t="inlineStr">
        <is>
          <t>RSWBFW02</t>
        </is>
      </c>
      <c r="B259" s="14" t="inlineStr">
        <is>
          <t>Adjustable Utility Weight Bench Pro</t>
        </is>
      </c>
      <c r="C259" s="14" t="inlineStr">
        <is>
          <t>Strength</t>
        </is>
      </c>
      <c r="D259" s="15" t="inlineStr">
        <is>
          <t>No</t>
        </is>
      </c>
      <c r="E259" s="15" t="inlineStr"/>
      <c r="F259" s="15" t="inlineStr">
        <is>
          <t>Yes</t>
        </is>
      </c>
      <c r="G259" s="16" t="n">
        <v>39</v>
      </c>
      <c r="H259" s="16" t="n">
        <v>138</v>
      </c>
      <c r="I259" s="16" t="n">
        <v>25</v>
      </c>
      <c r="J259" s="16" t="n"/>
      <c r="K259" s="14">
        <f>TRIM(IF(F259="No","Features ","")&amp;IF(G259="","Weight ","")&amp;IF(OR(H259="",I259="",J259="")," Dimensions",""))</f>
        <v/>
      </c>
      <c r="L259" s="15">
        <f>IF(OR(G259="",H259="",I259="",J259=""),"No data",IF(AND(G259&lt;=22,MAX(H259:J259)&lt;=105,(H259*I259*J259)/1000000&lt;=0.25),"Yes","Too big"))</f>
        <v/>
      </c>
      <c r="M259" s="14" t="inlineStr">
        <is>
          <t>/product/adjustable-utility-weight-bench-pro</t>
        </is>
      </c>
    </row>
    <row r="260">
      <c r="A260" s="14" t="inlineStr">
        <is>
          <t>RKST10CW01</t>
        </is>
      </c>
      <c r="B260" s="14" t="inlineStr">
        <is>
          <t>REVL Studio Kit - Wall Mounted Rig (10 Cell)</t>
        </is>
      </c>
      <c r="C260" s="14" t="inlineStr">
        <is>
          <t>Studio Kit</t>
        </is>
      </c>
      <c r="D260" s="15" t="inlineStr">
        <is>
          <t>No</t>
        </is>
      </c>
      <c r="E260" s="15" t="inlineStr"/>
      <c r="F260" s="15" t="inlineStr">
        <is>
          <t>No</t>
        </is>
      </c>
      <c r="G260" s="16" t="n"/>
      <c r="H260" s="16" t="n"/>
      <c r="I260" s="16" t="n"/>
      <c r="J260" s="16" t="n"/>
      <c r="K260" s="14">
        <f>TRIM(IF(F260="No","Features ","")&amp;IF(G260="","Weight ","")&amp;IF(OR(H260="",I260="",J260="")," Dimensions",""))</f>
        <v/>
      </c>
      <c r="L260" s="15">
        <f>IF(OR(G260="",H260="",I260="",J260=""),"No data",IF(AND(G260&lt;=22,MAX(H260:J260)&lt;=105,(H260*I260*J260)/1000000&lt;=0.25),"Yes","Too big"))</f>
        <v/>
      </c>
      <c r="M260" s="14" t="inlineStr">
        <is>
          <t>/product/revl-studio-kit-wall-mounted-rig-10-cell</t>
        </is>
      </c>
    </row>
    <row r="261">
      <c r="A261" s="14" t="inlineStr">
        <is>
          <t>RKST11CW01</t>
        </is>
      </c>
      <c r="B261" s="14" t="inlineStr">
        <is>
          <t>REVL Studio Kit - Wall Mounted Rig (11 Cell)</t>
        </is>
      </c>
      <c r="C261" s="14" t="inlineStr">
        <is>
          <t>Studio Kit</t>
        </is>
      </c>
      <c r="D261" s="15" t="inlineStr">
        <is>
          <t>No</t>
        </is>
      </c>
      <c r="E261" s="15" t="inlineStr"/>
      <c r="F261" s="15" t="inlineStr">
        <is>
          <t>No</t>
        </is>
      </c>
      <c r="G261" s="16" t="n"/>
      <c r="H261" s="16" t="n"/>
      <c r="I261" s="16" t="n"/>
      <c r="J261" s="16" t="n"/>
      <c r="K261" s="14">
        <f>TRIM(IF(F261="No","Features ","")&amp;IF(G261="","Weight ","")&amp;IF(OR(H261="",I261="",J261="")," Dimensions",""))</f>
        <v/>
      </c>
      <c r="L261" s="15">
        <f>IF(OR(G261="",H261="",I261="",J261=""),"No data",IF(AND(G261&lt;=22,MAX(H261:J261)&lt;=105,(H261*I261*J261)/1000000&lt;=0.25),"Yes","Too big"))</f>
        <v/>
      </c>
      <c r="M261" s="14" t="inlineStr">
        <is>
          <t>/product/revl-studio-kit-wall-mounted-rig-11-cell</t>
        </is>
      </c>
    </row>
    <row r="262">
      <c r="A262" s="14" t="inlineStr">
        <is>
          <t>RKST12CW01</t>
        </is>
      </c>
      <c r="B262" s="14" t="inlineStr">
        <is>
          <t>REVL Studio Kit - Wall Mounted Rig (12 Cell)</t>
        </is>
      </c>
      <c r="C262" s="14" t="inlineStr">
        <is>
          <t>Studio Kit</t>
        </is>
      </c>
      <c r="D262" s="15" t="inlineStr">
        <is>
          <t>No</t>
        </is>
      </c>
      <c r="E262" s="15" t="inlineStr"/>
      <c r="F262" s="15" t="inlineStr">
        <is>
          <t>No</t>
        </is>
      </c>
      <c r="G262" s="16" t="n"/>
      <c r="H262" s="16" t="n"/>
      <c r="I262" s="16" t="n"/>
      <c r="J262" s="16" t="n"/>
      <c r="K262" s="14">
        <f>TRIM(IF(F262="No","Features ","")&amp;IF(G262="","Weight ","")&amp;IF(OR(H262="",I262="",J262="")," Dimensions",""))</f>
        <v/>
      </c>
      <c r="L262" s="15">
        <f>IF(OR(G262="",H262="",I262="",J262=""),"No data",IF(AND(G262&lt;=22,MAX(H262:J262)&lt;=105,(H262*I262*J262)/1000000&lt;=0.25),"Yes","Too big"))</f>
        <v/>
      </c>
      <c r="M262" s="14" t="inlineStr">
        <is>
          <t>/product/revl-studio-kit-wall-mounted-rig-12-cell</t>
        </is>
      </c>
    </row>
    <row r="263">
      <c r="A263" s="14" t="inlineStr">
        <is>
          <t>RKST3C01</t>
        </is>
      </c>
      <c r="B263" s="14" t="inlineStr">
        <is>
          <t>REVL Studio Kit - Freestanding Rig (3 Cell)</t>
        </is>
      </c>
      <c r="C263" s="14" t="inlineStr">
        <is>
          <t>Studio Kit</t>
        </is>
      </c>
      <c r="D263" s="15" t="inlineStr">
        <is>
          <t>No</t>
        </is>
      </c>
      <c r="E263" s="15" t="inlineStr"/>
      <c r="F263" s="15" t="inlineStr">
        <is>
          <t>No</t>
        </is>
      </c>
      <c r="G263" s="16" t="n"/>
      <c r="H263" s="16" t="n"/>
      <c r="I263" s="16" t="n"/>
      <c r="J263" s="16" t="n"/>
      <c r="K263" s="14">
        <f>TRIM(IF(F263="No","Features ","")&amp;IF(G263="","Weight ","")&amp;IF(OR(H263="",I263="",J263="")," Dimensions",""))</f>
        <v/>
      </c>
      <c r="L263" s="15">
        <f>IF(OR(G263="",H263="",I263="",J263=""),"No data",IF(AND(G263&lt;=22,MAX(H263:J263)&lt;=105,(H263*I263*J263)/1000000&lt;=0.25),"Yes","Too big"))</f>
        <v/>
      </c>
      <c r="M263" s="14" t="inlineStr">
        <is>
          <t>/product/revl-studio-kit-freestanding-rig-3-cell</t>
        </is>
      </c>
    </row>
    <row r="264">
      <c r="A264" s="14" t="inlineStr">
        <is>
          <t>RKST4C02</t>
        </is>
      </c>
      <c r="B264" s="14" t="inlineStr">
        <is>
          <t>REVL Studio Kit - Freestanding Rig (4 Cell)</t>
        </is>
      </c>
      <c r="C264" s="14" t="inlineStr">
        <is>
          <t>Studio Kit</t>
        </is>
      </c>
      <c r="D264" s="15" t="inlineStr">
        <is>
          <t>No</t>
        </is>
      </c>
      <c r="E264" s="15" t="inlineStr"/>
      <c r="F264" s="15" t="inlineStr">
        <is>
          <t>No</t>
        </is>
      </c>
      <c r="G264" s="16" t="n"/>
      <c r="H264" s="16" t="n"/>
      <c r="I264" s="16" t="n"/>
      <c r="J264" s="16" t="n"/>
      <c r="K264" s="14">
        <f>TRIM(IF(F264="No","Features ","")&amp;IF(G264="","Weight ","")&amp;IF(OR(H264="",I264="",J264="")," Dimensions",""))</f>
        <v/>
      </c>
      <c r="L264" s="15">
        <f>IF(OR(G264="",H264="",I264="",J264=""),"No data",IF(AND(G264&lt;=22,MAX(H264:J264)&lt;=105,(H264*I264*J264)/1000000&lt;=0.25),"Yes","Too big"))</f>
        <v/>
      </c>
      <c r="M264" s="14" t="inlineStr">
        <is>
          <t>/product/revl-studio-kit-freestanding-rig-4-cell</t>
        </is>
      </c>
    </row>
    <row r="265">
      <c r="A265" s="14" t="inlineStr">
        <is>
          <t>RKST5C01</t>
        </is>
      </c>
      <c r="B265" s="14" t="inlineStr">
        <is>
          <t>REVL Studio Kit - Freestanding Rig (5 Cell)</t>
        </is>
      </c>
      <c r="C265" s="14" t="inlineStr">
        <is>
          <t>Studio Kit</t>
        </is>
      </c>
      <c r="D265" s="15" t="inlineStr">
        <is>
          <t>No</t>
        </is>
      </c>
      <c r="E265" s="15" t="inlineStr"/>
      <c r="F265" s="15" t="inlineStr">
        <is>
          <t>No</t>
        </is>
      </c>
      <c r="G265" s="16" t="n"/>
      <c r="H265" s="16" t="n"/>
      <c r="I265" s="16" t="n"/>
      <c r="J265" s="16" t="n"/>
      <c r="K265" s="14">
        <f>TRIM(IF(F265="No","Features ","")&amp;IF(G265="","Weight ","")&amp;IF(OR(H265="",I265="",J265="")," Dimensions",""))</f>
        <v/>
      </c>
      <c r="L265" s="15">
        <f>IF(OR(G265="",H265="",I265="",J265=""),"No data",IF(AND(G265&lt;=22,MAX(H265:J265)&lt;=105,(H265*I265*J265)/1000000&lt;=0.25),"Yes","Too big"))</f>
        <v/>
      </c>
      <c r="M265" s="14" t="inlineStr">
        <is>
          <t>/product/revl-studio-kit-freestanding-rig-5-cell</t>
        </is>
      </c>
    </row>
    <row r="266">
      <c r="A266" s="14" t="inlineStr">
        <is>
          <t>RKST5CW01</t>
        </is>
      </c>
      <c r="B266" s="14" t="inlineStr">
        <is>
          <t>REVL Studio Kit - Wall Mounted Rig (5 Cell)</t>
        </is>
      </c>
      <c r="C266" s="14" t="inlineStr">
        <is>
          <t>Studio Kit</t>
        </is>
      </c>
      <c r="D266" s="15" t="inlineStr">
        <is>
          <t>No</t>
        </is>
      </c>
      <c r="E266" s="15" t="inlineStr"/>
      <c r="F266" s="15" t="inlineStr">
        <is>
          <t>No</t>
        </is>
      </c>
      <c r="G266" s="16" t="n"/>
      <c r="H266" s="16" t="n"/>
      <c r="I266" s="16" t="n"/>
      <c r="J266" s="16" t="n"/>
      <c r="K266" s="14">
        <f>TRIM(IF(F266="No","Features ","")&amp;IF(G266="","Weight ","")&amp;IF(OR(H266="",I266="",J266="")," Dimensions",""))</f>
        <v/>
      </c>
      <c r="L266" s="15">
        <f>IF(OR(G266="",H266="",I266="",J266=""),"No data",IF(AND(G266&lt;=22,MAX(H266:J266)&lt;=105,(H266*I266*J266)/1000000&lt;=0.25),"Yes","Too big"))</f>
        <v/>
      </c>
      <c r="M266" s="14" t="inlineStr">
        <is>
          <t>/product/revl-studio-kit-wall-mounted-rig-5-cell</t>
        </is>
      </c>
    </row>
    <row r="267">
      <c r="A267" s="14" t="inlineStr">
        <is>
          <t>RKST6C01</t>
        </is>
      </c>
      <c r="B267" s="14" t="inlineStr">
        <is>
          <t>REVL Studio Kit - Freestanding Rig (6 Cell)</t>
        </is>
      </c>
      <c r="C267" s="14" t="inlineStr">
        <is>
          <t>Studio Kit</t>
        </is>
      </c>
      <c r="D267" s="15" t="inlineStr">
        <is>
          <t>No</t>
        </is>
      </c>
      <c r="E267" s="15" t="inlineStr"/>
      <c r="F267" s="15" t="inlineStr">
        <is>
          <t>No</t>
        </is>
      </c>
      <c r="G267" s="16" t="n"/>
      <c r="H267" s="16" t="n"/>
      <c r="I267" s="16" t="n"/>
      <c r="J267" s="16" t="n"/>
      <c r="K267" s="14">
        <f>TRIM(IF(F267="No","Features ","")&amp;IF(G267="","Weight ","")&amp;IF(OR(H267="",I267="",J267="")," Dimensions",""))</f>
        <v/>
      </c>
      <c r="L267" s="15">
        <f>IF(OR(G267="",H267="",I267="",J267=""),"No data",IF(AND(G267&lt;=22,MAX(H267:J267)&lt;=105,(H267*I267*J267)/1000000&lt;=0.25),"Yes","Too big"))</f>
        <v/>
      </c>
      <c r="M267" s="14" t="inlineStr">
        <is>
          <t>/product/revl-studio-kit-freestanding-rig-6-cell</t>
        </is>
      </c>
    </row>
    <row r="268">
      <c r="A268" s="14" t="inlineStr">
        <is>
          <t>RKST6CW01</t>
        </is>
      </c>
      <c r="B268" s="14" t="inlineStr">
        <is>
          <t>REVL Studio Kit - Wall Mounted Rig (6 Cell)</t>
        </is>
      </c>
      <c r="C268" s="14" t="inlineStr">
        <is>
          <t>Studio Kit</t>
        </is>
      </c>
      <c r="D268" s="15" t="inlineStr">
        <is>
          <t>No</t>
        </is>
      </c>
      <c r="E268" s="15" t="inlineStr"/>
      <c r="F268" s="15" t="inlineStr">
        <is>
          <t>No</t>
        </is>
      </c>
      <c r="G268" s="16" t="n"/>
      <c r="H268" s="16" t="n"/>
      <c r="I268" s="16" t="n"/>
      <c r="J268" s="16" t="n"/>
      <c r="K268" s="14">
        <f>TRIM(IF(F268="No","Features ","")&amp;IF(G268="","Weight ","")&amp;IF(OR(H268="",I268="",J268="")," Dimensions",""))</f>
        <v/>
      </c>
      <c r="L268" s="15">
        <f>IF(OR(G268="",H268="",I268="",J268=""),"No data",IF(AND(G268&lt;=22,MAX(H268:J268)&lt;=105,(H268*I268*J268)/1000000&lt;=0.25),"Yes","Too big"))</f>
        <v/>
      </c>
      <c r="M268" s="14" t="inlineStr">
        <is>
          <t>/product/revl-studio-kit-wall-mounted-rig-6-cell</t>
        </is>
      </c>
    </row>
    <row r="269">
      <c r="A269" s="14" t="inlineStr">
        <is>
          <t>RKST7CW01</t>
        </is>
      </c>
      <c r="B269" s="14" t="inlineStr">
        <is>
          <t>REVL Studio Kit - Wall Mounted Rig (7 Cell)</t>
        </is>
      </c>
      <c r="C269" s="14" t="inlineStr">
        <is>
          <t>Studio Kit</t>
        </is>
      </c>
      <c r="D269" s="15" t="inlineStr">
        <is>
          <t>No</t>
        </is>
      </c>
      <c r="E269" s="15" t="inlineStr"/>
      <c r="F269" s="15" t="inlineStr">
        <is>
          <t>No</t>
        </is>
      </c>
      <c r="G269" s="16" t="n"/>
      <c r="H269" s="16" t="n"/>
      <c r="I269" s="16" t="n"/>
      <c r="J269" s="16" t="n"/>
      <c r="K269" s="14">
        <f>TRIM(IF(F269="No","Features ","")&amp;IF(G269="","Weight ","")&amp;IF(OR(H269="",I269="",J269="")," Dimensions",""))</f>
        <v/>
      </c>
      <c r="L269" s="15">
        <f>IF(OR(G269="",H269="",I269="",J269=""),"No data",IF(AND(G269&lt;=22,MAX(H269:J269)&lt;=105,(H269*I269*J269)/1000000&lt;=0.25),"Yes","Too big"))</f>
        <v/>
      </c>
      <c r="M269" s="14" t="inlineStr">
        <is>
          <t>/product/revl-studio-kit-wall-mounted-rig-7-cell</t>
        </is>
      </c>
    </row>
    <row r="270">
      <c r="A270" s="14" t="inlineStr">
        <is>
          <t>RKST8CW01</t>
        </is>
      </c>
      <c r="B270" s="14" t="inlineStr">
        <is>
          <t>REVL Studio Kit - Wall Mounted Rig (8 Cell)</t>
        </is>
      </c>
      <c r="C270" s="14" t="inlineStr">
        <is>
          <t>Studio Kit</t>
        </is>
      </c>
      <c r="D270" s="15" t="inlineStr">
        <is>
          <t>No</t>
        </is>
      </c>
      <c r="E270" s="15" t="inlineStr"/>
      <c r="F270" s="15" t="inlineStr">
        <is>
          <t>No</t>
        </is>
      </c>
      <c r="G270" s="16" t="n"/>
      <c r="H270" s="16" t="n"/>
      <c r="I270" s="16" t="n"/>
      <c r="J270" s="16" t="n"/>
      <c r="K270" s="14">
        <f>TRIM(IF(F270="No","Features ","")&amp;IF(G270="","Weight ","")&amp;IF(OR(H270="",I270="",J270="")," Dimensions",""))</f>
        <v/>
      </c>
      <c r="L270" s="15">
        <f>IF(OR(G270="",H270="",I270="",J270=""),"No data",IF(AND(G270&lt;=22,MAX(H270:J270)&lt;=105,(H270*I270*J270)/1000000&lt;=0.25),"Yes","Too big"))</f>
        <v/>
      </c>
      <c r="M270" s="14" t="inlineStr">
        <is>
          <t>/product/revl-studio-kit-wall-mounted-rig-8-cell</t>
        </is>
      </c>
    </row>
    <row r="271">
      <c r="A271" s="14" t="inlineStr">
        <is>
          <t>RKST9CW01</t>
        </is>
      </c>
      <c r="B271" s="14" t="inlineStr">
        <is>
          <t>REVL Studio Kit - Wall Mounted Rig (9 Cell)</t>
        </is>
      </c>
      <c r="C271" s="14" t="inlineStr">
        <is>
          <t>Studio Kit</t>
        </is>
      </c>
      <c r="D271" s="15" t="inlineStr">
        <is>
          <t>No</t>
        </is>
      </c>
      <c r="E271" s="15" t="inlineStr"/>
      <c r="F271" s="15" t="inlineStr">
        <is>
          <t>No</t>
        </is>
      </c>
      <c r="G271" s="16" t="n"/>
      <c r="H271" s="16" t="n"/>
      <c r="I271" s="16" t="n"/>
      <c r="J271" s="16" t="n"/>
      <c r="K271" s="14">
        <f>TRIM(IF(F271="No","Features ","")&amp;IF(G271="","Weight ","")&amp;IF(OR(H271="",I271="",J271="")," Dimensions",""))</f>
        <v/>
      </c>
      <c r="L271" s="15">
        <f>IF(OR(G271="",H271="",I271="",J271=""),"No data",IF(AND(G271&lt;=22,MAX(H271:J271)&lt;=105,(H271*I271*J271)/1000000&lt;=0.25),"Yes","Too big"))</f>
        <v/>
      </c>
      <c r="M271" s="14" t="inlineStr">
        <is>
          <t>/product/revl-studio-kit-wall-mounted-rig-9-cell</t>
        </is>
      </c>
    </row>
    <row r="272">
      <c r="A272" s="14" t="inlineStr">
        <is>
          <t>RSCMATT01</t>
        </is>
      </c>
      <c r="B272" s="14" t="inlineStr">
        <is>
          <t>Cable Pulley System</t>
        </is>
      </c>
      <c r="C272" s="14" t="inlineStr">
        <is>
          <t>Weightlifting</t>
        </is>
      </c>
      <c r="D272" s="15" t="inlineStr">
        <is>
          <t>No</t>
        </is>
      </c>
      <c r="E272" s="15" t="inlineStr"/>
      <c r="F272" s="15" t="inlineStr">
        <is>
          <t>Yes</t>
        </is>
      </c>
      <c r="G272" s="16" t="n">
        <v>10</v>
      </c>
      <c r="H272" s="16" t="n">
        <v>68</v>
      </c>
      <c r="I272" s="16" t="n">
        <v>34.5</v>
      </c>
      <c r="J272" s="16" t="n">
        <v>8.5</v>
      </c>
      <c r="K272" s="14">
        <f>TRIM(IF(F272="No","Features ","")&amp;IF(G272="","Weight ","")&amp;IF(OR(H272="",I272="",J272="")," Dimensions",""))</f>
        <v/>
      </c>
      <c r="L272" s="15">
        <f>IF(OR(G272="",H272="",I272="",J272=""),"No data",IF(AND(G272&lt;=22,MAX(H272:J272)&lt;=105,(H272*I272*J272)/1000000&lt;=0.25),"Yes","Too big"))</f>
        <v/>
      </c>
      <c r="M272" s="14" t="inlineStr">
        <is>
          <t>/product/cable-pulley-system</t>
        </is>
      </c>
    </row>
    <row r="273">
      <c r="A273" s="14" t="inlineStr">
        <is>
          <t>RWBBOL01</t>
        </is>
      </c>
      <c r="B273" s="14" t="inlineStr">
        <is>
          <t>Olympic Barbell - 15kg (1500Lb Capacity)</t>
        </is>
      </c>
      <c r="C273" s="14" t="inlineStr">
        <is>
          <t>Weightlifting</t>
        </is>
      </c>
      <c r="D273" s="15" t="inlineStr">
        <is>
          <t>No</t>
        </is>
      </c>
      <c r="E273" s="15" t="inlineStr"/>
      <c r="F273" s="15" t="inlineStr">
        <is>
          <t>Yes</t>
        </is>
      </c>
      <c r="G273" s="16" t="n">
        <v>16</v>
      </c>
      <c r="H273" s="16" t="n">
        <v>205</v>
      </c>
      <c r="I273" s="16" t="n">
        <v>8</v>
      </c>
      <c r="J273" s="16" t="n"/>
      <c r="K273" s="14">
        <f>TRIM(IF(F273="No","Features ","")&amp;IF(G273="","Weight ","")&amp;IF(OR(H273="",I273="",J273="")," Dimensions",""))</f>
        <v/>
      </c>
      <c r="L273" s="15">
        <f>IF(OR(G273="",H273="",I273="",J273=""),"No data",IF(AND(G273&lt;=22,MAX(H273:J273)&lt;=105,(H273*I273*J273)/1000000&lt;=0.25),"Yes","Too big"))</f>
        <v/>
      </c>
      <c r="M273" s="14" t="inlineStr">
        <is>
          <t>/product/olympic-barbell-15kg-1500lb-capacity-2</t>
        </is>
      </c>
    </row>
    <row r="274">
      <c r="A274" s="14" t="inlineStr">
        <is>
          <t>RWBBOL02</t>
        </is>
      </c>
      <c r="B274" s="14" t="inlineStr">
        <is>
          <t>Olympic Barbell - 20kg (2000Lb Capacity)</t>
        </is>
      </c>
      <c r="C274" s="14" t="inlineStr">
        <is>
          <t>Weightlifting</t>
        </is>
      </c>
      <c r="D274" s="15" t="inlineStr">
        <is>
          <t>No</t>
        </is>
      </c>
      <c r="E274" s="15" t="inlineStr"/>
      <c r="F274" s="15" t="inlineStr">
        <is>
          <t>Yes</t>
        </is>
      </c>
      <c r="G274" s="16" t="n">
        <v>21</v>
      </c>
      <c r="H274" s="16" t="n">
        <v>224</v>
      </c>
      <c r="I274" s="16" t="n">
        <v>8</v>
      </c>
      <c r="J274" s="16" t="n"/>
      <c r="K274" s="14">
        <f>TRIM(IF(F274="No","Features ","")&amp;IF(G274="","Weight ","")&amp;IF(OR(H274="",I274="",J274="")," Dimensions",""))</f>
        <v/>
      </c>
      <c r="L274" s="15">
        <f>IF(OR(G274="",H274="",I274="",J274=""),"No data",IF(AND(G274&lt;=22,MAX(H274:J274)&lt;=105,(H274*I274*J274)/1000000&lt;=0.25),"Yes","Too big"))</f>
        <v/>
      </c>
      <c r="M274" s="14" t="inlineStr">
        <is>
          <t>/product/olympic-barbell-20kg-2000lb-capacity-2</t>
        </is>
      </c>
    </row>
    <row r="275">
      <c r="A275" s="14" t="inlineStr">
        <is>
          <t>RWWAACC01</t>
        </is>
      </c>
      <c r="B275" s="14" t="inlineStr">
        <is>
          <t>Weightlifting Belt</t>
        </is>
      </c>
      <c r="C275" s="14" t="inlineStr">
        <is>
          <t>Weightlifting</t>
        </is>
      </c>
      <c r="D275" s="15" t="inlineStr">
        <is>
          <t>No</t>
        </is>
      </c>
      <c r="E275" s="15" t="inlineStr"/>
      <c r="F275" s="15" t="inlineStr">
        <is>
          <t>Yes</t>
        </is>
      </c>
      <c r="G275" s="16" t="n"/>
      <c r="H275" s="16" t="n"/>
      <c r="I275" s="16" t="n"/>
      <c r="J275" s="16" t="n"/>
      <c r="K275" s="14">
        <f>TRIM(IF(F275="No","Features ","")&amp;IF(G275="","Weight ","")&amp;IF(OR(H275="",I275="",J275="")," Dimensions",""))</f>
        <v/>
      </c>
      <c r="L275" s="15">
        <f>IF(OR(G275="",H275="",I275="",J275=""),"No data",IF(AND(G275&lt;=22,MAX(H275:J275)&lt;=105,(H275*I275*J275)/1000000&lt;=0.25),"Yes","Too big"))</f>
        <v/>
      </c>
      <c r="M275" s="14" t="inlineStr">
        <is>
          <t>/product/weightlifting-belt</t>
        </is>
      </c>
    </row>
    <row r="276">
      <c r="A276" s="14" t="inlineStr">
        <is>
          <t>RWWAACC02</t>
        </is>
      </c>
      <c r="B276" s="14" t="inlineStr">
        <is>
          <t>Dip &amp; Pull Up Belt</t>
        </is>
      </c>
      <c r="C276" s="14" t="inlineStr">
        <is>
          <t>Weightlifting</t>
        </is>
      </c>
      <c r="D276" s="15" t="inlineStr">
        <is>
          <t>No</t>
        </is>
      </c>
      <c r="E276" s="15" t="inlineStr"/>
      <c r="F276" s="15" t="inlineStr">
        <is>
          <t>Yes</t>
        </is>
      </c>
      <c r="G276" s="16" t="n">
        <v>1</v>
      </c>
      <c r="H276" s="16" t="n">
        <v>84</v>
      </c>
      <c r="I276" s="16" t="n">
        <v>19.5</v>
      </c>
      <c r="J276" s="16" t="n"/>
      <c r="K276" s="14">
        <f>TRIM(IF(F276="No","Features ","")&amp;IF(G276="","Weight ","")&amp;IF(OR(H276="",I276="",J276="")," Dimensions",""))</f>
        <v/>
      </c>
      <c r="L276" s="15">
        <f>IF(OR(G276="",H276="",I276="",J276=""),"No data",IF(AND(G276&lt;=22,MAX(H276:J276)&lt;=105,(H276*I276*J276)/1000000&lt;=0.25),"Yes","Too big"))</f>
        <v/>
      </c>
      <c r="M276" s="14" t="inlineStr">
        <is>
          <t>/product/dip-pull-up-belt</t>
        </is>
      </c>
    </row>
    <row r="277">
      <c r="A277" s="14" t="inlineStr">
        <is>
          <t>RWWLACC01</t>
        </is>
      </c>
      <c r="B277" s="14" t="inlineStr">
        <is>
          <t>Barbell Squat Pad</t>
        </is>
      </c>
      <c r="C277" s="14" t="inlineStr">
        <is>
          <t>Weightlifting</t>
        </is>
      </c>
      <c r="D277" s="15" t="inlineStr">
        <is>
          <t>No</t>
        </is>
      </c>
      <c r="E277" s="15" t="inlineStr"/>
      <c r="F277" s="15" t="inlineStr">
        <is>
          <t>Yes</t>
        </is>
      </c>
      <c r="G277" s="16" t="n">
        <v>1</v>
      </c>
      <c r="H277" s="16" t="n">
        <v>44.5</v>
      </c>
      <c r="I277" s="16" t="n">
        <v>11</v>
      </c>
      <c r="J277" s="16" t="n"/>
      <c r="K277" s="14">
        <f>TRIM(IF(F277="No","Features ","")&amp;IF(G277="","Weight ","")&amp;IF(OR(H277="",I277="",J277="")," Dimensions",""))</f>
        <v/>
      </c>
      <c r="L277" s="15">
        <f>IF(OR(G277="",H277="",I277="",J277=""),"No data",IF(AND(G277&lt;=22,MAX(H277:J277)&lt;=105,(H277*I277*J277)/1000000&lt;=0.25),"Yes","Too big"))</f>
        <v/>
      </c>
      <c r="M277" s="14" t="inlineStr">
        <is>
          <t>/product/barbell-squat-pad</t>
        </is>
      </c>
    </row>
    <row r="278">
      <c r="A278" s="14" t="inlineStr">
        <is>
          <t>RWWLACC02</t>
        </is>
      </c>
      <c r="B278" s="14" t="inlineStr">
        <is>
          <t>Olympic Bar Easy Lock Collars (Pair)</t>
        </is>
      </c>
      <c r="C278" s="14" t="inlineStr">
        <is>
          <t>Weightlifting</t>
        </is>
      </c>
      <c r="D278" s="15" t="inlineStr">
        <is>
          <t>No</t>
        </is>
      </c>
      <c r="E278" s="15" t="inlineStr"/>
      <c r="F278" s="15" t="inlineStr">
        <is>
          <t>Yes</t>
        </is>
      </c>
      <c r="G278" s="16" t="n">
        <v>1</v>
      </c>
      <c r="H278" s="16" t="n">
        <v>5.3</v>
      </c>
      <c r="I278" s="16" t="n">
        <v>5.3</v>
      </c>
      <c r="J278" s="16" t="n"/>
      <c r="K278" s="14">
        <f>TRIM(IF(F278="No","Features ","")&amp;IF(G278="","Weight ","")&amp;IF(OR(H278="",I278="",J278="")," Dimensions",""))</f>
        <v/>
      </c>
      <c r="L278" s="15">
        <f>IF(OR(G278="",H278="",I278="",J278=""),"No data",IF(AND(G278&lt;=22,MAX(H278:J278)&lt;=105,(H278*I278*J278)/1000000&lt;=0.25),"Yes","Too big"))</f>
        <v/>
      </c>
      <c r="M278" s="14" t="inlineStr">
        <is>
          <t>/product/olympic-bar-easy-lock-collars-pair-2</t>
        </is>
      </c>
    </row>
    <row r="279">
      <c r="A279" s="14" t="inlineStr">
        <is>
          <t>RWWLCH01</t>
        </is>
      </c>
      <c r="B279" s="14" t="inlineStr">
        <is>
          <t>Chalk Bowl</t>
        </is>
      </c>
      <c r="C279" s="14" t="inlineStr">
        <is>
          <t>Weightlifting</t>
        </is>
      </c>
      <c r="D279" s="15" t="inlineStr">
        <is>
          <t>No</t>
        </is>
      </c>
      <c r="E279" s="15" t="inlineStr"/>
      <c r="F279" s="15" t="inlineStr">
        <is>
          <t>Yes</t>
        </is>
      </c>
      <c r="G279" s="16" t="n">
        <v>8</v>
      </c>
      <c r="H279" s="16" t="n">
        <v>55</v>
      </c>
      <c r="I279" s="16" t="n">
        <v>46</v>
      </c>
      <c r="J279" s="16" t="n">
        <v>15</v>
      </c>
      <c r="K279" s="14">
        <f>TRIM(IF(F279="No","Features ","")&amp;IF(G279="","Weight ","")&amp;IF(OR(H279="",I279="",J279="")," Dimensions",""))</f>
        <v/>
      </c>
      <c r="L279" s="15">
        <f>IF(OR(G279="",H279="",I279="",J279=""),"No data",IF(AND(G279&lt;=22,MAX(H279:J279)&lt;=105,(H279*I279*J279)/1000000&lt;=0.25),"Yes","Too big"))</f>
        <v/>
      </c>
      <c r="M279" s="14" t="inlineStr">
        <is>
          <t>/product/chalk-bowl</t>
        </is>
      </c>
    </row>
    <row r="280">
      <c r="A280" s="14" t="inlineStr">
        <is>
          <t>RWWLCH02</t>
        </is>
      </c>
      <c r="B280" s="14" t="inlineStr">
        <is>
          <t>Weightlifting Chalk Box</t>
        </is>
      </c>
      <c r="C280" s="14" t="inlineStr">
        <is>
          <t>Weightlifting</t>
        </is>
      </c>
      <c r="D280" s="15" t="inlineStr">
        <is>
          <t>No</t>
        </is>
      </c>
      <c r="E280" s="15" t="inlineStr"/>
      <c r="F280" s="15" t="inlineStr">
        <is>
          <t>Yes</t>
        </is>
      </c>
      <c r="G280" s="16" t="n">
        <v>1</v>
      </c>
      <c r="H280" s="16" t="n">
        <v>19</v>
      </c>
      <c r="I280" s="16" t="n">
        <v>19</v>
      </c>
      <c r="J280" s="16" t="n"/>
      <c r="K280" s="14">
        <f>TRIM(IF(F280="No","Features ","")&amp;IF(G280="","Weight ","")&amp;IF(OR(H280="",I280="",J280="")," Dimensions",""))</f>
        <v/>
      </c>
      <c r="L280" s="15">
        <f>IF(OR(G280="",H280="",I280="",J280=""),"No data",IF(AND(G280&lt;=22,MAX(H280:J280)&lt;=105,(H280*I280*J280)/1000000&lt;=0.25),"Yes","Too big"))</f>
        <v/>
      </c>
      <c r="M280" s="14" t="inlineStr">
        <is>
          <t>/product/weightlifting-chalk-box</t>
        </is>
      </c>
    </row>
    <row r="281">
      <c r="A281" s="14" t="inlineStr">
        <is>
          <t>RWWLPVC01</t>
        </is>
      </c>
      <c r="B281" s="14" t="inlineStr">
        <is>
          <t>Technique/Training Bar</t>
        </is>
      </c>
      <c r="C281" s="14" t="inlineStr">
        <is>
          <t>Weightlifting</t>
        </is>
      </c>
      <c r="D281" s="15" t="inlineStr">
        <is>
          <t>No</t>
        </is>
      </c>
      <c r="E281" s="15" t="inlineStr"/>
      <c r="F281" s="15" t="inlineStr">
        <is>
          <t>Yes</t>
        </is>
      </c>
      <c r="G281" s="16" t="n">
        <v>10</v>
      </c>
      <c r="H281" s="16" t="n">
        <v>68</v>
      </c>
      <c r="I281" s="16" t="n">
        <v>34.5</v>
      </c>
      <c r="J281" s="16" t="n">
        <v>8.5</v>
      </c>
      <c r="K281" s="14">
        <f>TRIM(IF(F281="No","Features ","")&amp;IF(G281="","Weight ","")&amp;IF(OR(H281="",I281="",J281="")," Dimensions",""))</f>
        <v/>
      </c>
      <c r="L281" s="15">
        <f>IF(OR(G281="",H281="",I281="",J281=""),"No data",IF(AND(G281&lt;=22,MAX(H281:J281)&lt;=105,(H281*I281*J281)/1000000&lt;=0.25),"Yes","Too big"))</f>
        <v/>
      </c>
      <c r="M281" s="14" t="inlineStr">
        <is>
          <t>/product/technique-training-bar</t>
        </is>
      </c>
    </row>
    <row r="282">
      <c r="A282" s="14" t="inlineStr">
        <is>
          <t>RWWLRR01</t>
        </is>
      </c>
      <c r="B282" s="14" t="inlineStr">
        <is>
          <t>Squat Wedge Block</t>
        </is>
      </c>
      <c r="C282" s="14" t="inlineStr">
        <is>
          <t>Weightlifting</t>
        </is>
      </c>
      <c r="D282" s="15" t="inlineStr">
        <is>
          <t>No</t>
        </is>
      </c>
      <c r="E282" s="15" t="inlineStr"/>
      <c r="F282" s="15" t="inlineStr">
        <is>
          <t>No</t>
        </is>
      </c>
      <c r="G282" s="16" t="n"/>
      <c r="H282" s="16" t="n"/>
      <c r="I282" s="16" t="n"/>
      <c r="J282" s="16" t="n"/>
      <c r="K282" s="14">
        <f>TRIM(IF(F282="No","Features ","")&amp;IF(G282="","Weight ","")&amp;IF(OR(H282="",I282="",J282="")," Dimensions",""))</f>
        <v/>
      </c>
      <c r="L282" s="15">
        <f>IF(OR(G282="",H282="",I282="",J282=""),"No data",IF(AND(G282&lt;=22,MAX(H282:J282)&lt;=105,(H282*I282*J282)/1000000&lt;=0.25),"Yes","Too big"))</f>
        <v/>
      </c>
      <c r="M282" s="14" t="inlineStr">
        <is>
          <t>/product/squat-wedge-block</t>
        </is>
      </c>
    </row>
    <row r="283">
      <c r="A283" s="14" t="inlineStr">
        <is>
          <t>RWWPCNB-GROUP</t>
        </is>
      </c>
      <c r="B283" s="14" t="inlineStr">
        <is>
          <t>Pro Bumper Plates</t>
        </is>
      </c>
      <c r="C283" s="14" t="inlineStr">
        <is>
          <t>Weightlifting</t>
        </is>
      </c>
      <c r="D283" s="15" t="inlineStr">
        <is>
          <t>No</t>
        </is>
      </c>
      <c r="E283" s="15" t="inlineStr"/>
      <c r="F283" s="15" t="inlineStr">
        <is>
          <t>No</t>
        </is>
      </c>
      <c r="G283" s="16" t="n"/>
      <c r="H283" s="16" t="n"/>
      <c r="I283" s="16" t="n"/>
      <c r="J283" s="16" t="n"/>
      <c r="K283" s="14">
        <f>TRIM(IF(F283="No","Features ","")&amp;IF(G283="","Weight ","")&amp;IF(OR(H283="",I283="",J283="")," Dimensions",""))</f>
        <v/>
      </c>
      <c r="L283" s="15">
        <f>IF(OR(G283="",H283="",I283="",J283=""),"No data",IF(AND(G283&lt;=22,MAX(H283:J283)&lt;=105,(H283*I283*J283)/1000000&lt;=0.25),"Yes","Too big"))</f>
        <v/>
      </c>
      <c r="M283" s="14" t="inlineStr">
        <is>
          <t>/product/pro-bumper-plates</t>
        </is>
      </c>
    </row>
    <row r="284">
      <c r="A284" s="14" t="inlineStr">
        <is>
          <t>RWWPCP-GROUP</t>
        </is>
      </c>
      <c r="B284" s="14" t="inlineStr">
        <is>
          <t>Change Plates</t>
        </is>
      </c>
      <c r="C284" s="14" t="inlineStr">
        <is>
          <t>Weightlifting</t>
        </is>
      </c>
      <c r="D284" s="15" t="inlineStr">
        <is>
          <t>No</t>
        </is>
      </c>
      <c r="E284" s="15" t="inlineStr"/>
      <c r="F284" s="15" t="inlineStr">
        <is>
          <t>Yes</t>
        </is>
      </c>
      <c r="G284" s="16" t="n">
        <v>2</v>
      </c>
      <c r="H284" s="16" t="n">
        <v>17.5</v>
      </c>
      <c r="I284" s="16" t="n">
        <v>17.5</v>
      </c>
      <c r="J284" s="16" t="n">
        <v>13</v>
      </c>
      <c r="K284" s="14">
        <f>TRIM(IF(F284="No","Features ","")&amp;IF(G284="","Weight ","")&amp;IF(OR(H284="",I284="",J284="")," Dimensions",""))</f>
        <v/>
      </c>
      <c r="L284" s="15">
        <f>IF(OR(G284="",H284="",I284="",J284=""),"No data",IF(AND(G284&lt;=22,MAX(H284:J284)&lt;=105,(H284*I284*J284)/1000000&lt;=0.25),"Yes","Too big"))</f>
        <v/>
      </c>
      <c r="M284" s="14" t="inlineStr">
        <is>
          <t>/product/change-plates-revl</t>
        </is>
      </c>
    </row>
  </sheetData>
  <autoFilter ref="A1:M2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2026-08-25T08:14:37Z</dcterms:created>
  <dcterms:modified xsi:type="dcterms:W3CDTF">2026-08-25T08:16:46Z</dcterms:modified>
</cp:coreProperties>
</file>